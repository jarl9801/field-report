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arl/Library/CloudStorage/GoogleDrive-jromero@umtelkomd.com/My Drive/2026/west_connect/ne4/"/>
    </mc:Choice>
  </mc:AlternateContent>
  <xr:revisionPtr revIDLastSave="0" documentId="13_ncr:1_{1A2305ED-8914-D045-8731-FCACDD68F6C7}" xr6:coauthVersionLast="47" xr6:coauthVersionMax="47" xr10:uidLastSave="{00000000-0000-0000-0000-000000000000}"/>
  <bookViews>
    <workbookView xWindow="0" yWindow="600" windowWidth="38400" windowHeight="21000" tabRatio="500" activeTab="3" xr2:uid="{00000000-000D-0000-FFFF-FFFF00000000}"/>
  </bookViews>
  <sheets>
    <sheet name="Citas" sheetId="1" r:id="rId1"/>
    <sheet name="Dashboard Semanal" sheetId="2" r:id="rId2"/>
    <sheet name="Técnicos" sheetId="3" r:id="rId3"/>
    <sheet name="Zonas" sheetId="4" r:id="rId4"/>
    <sheet name="KPIs" sheetId="5" r:id="rId5"/>
    <sheet name="Bloques Equipo" sheetId="6" r:id="rId6"/>
  </sheets>
  <definedNames>
    <definedName name="_xlnm._FilterDatabase" localSheetId="0" hidden="1">Citas!$A$4:$AE$81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5" l="1"/>
  <c r="B23" i="5"/>
  <c r="B19" i="5"/>
  <c r="B20" i="5" s="1"/>
  <c r="B18" i="5"/>
  <c r="B15" i="5"/>
  <c r="B14" i="5"/>
  <c r="B13" i="5"/>
  <c r="B9" i="5"/>
  <c r="B8" i="5"/>
  <c r="B7" i="5"/>
  <c r="B6" i="5"/>
  <c r="B5" i="5"/>
  <c r="B4" i="5"/>
  <c r="B10" i="5" s="1"/>
  <c r="J24" i="3"/>
  <c r="I24" i="3"/>
  <c r="H24" i="3"/>
  <c r="G24" i="3"/>
  <c r="F24" i="3"/>
  <c r="E24" i="3"/>
  <c r="D24" i="3"/>
  <c r="C24" i="3"/>
  <c r="B24" i="3"/>
  <c r="J23" i="3"/>
  <c r="I23" i="3"/>
  <c r="H23" i="3"/>
  <c r="G23" i="3"/>
  <c r="F23" i="3"/>
  <c r="E23" i="3"/>
  <c r="D23" i="3"/>
  <c r="C23" i="3"/>
  <c r="B23" i="3"/>
  <c r="J22" i="3"/>
  <c r="I22" i="3"/>
  <c r="H22" i="3"/>
  <c r="G22" i="3"/>
  <c r="F22" i="3"/>
  <c r="E22" i="3"/>
  <c r="D22" i="3"/>
  <c r="C22" i="3"/>
  <c r="B22" i="3"/>
  <c r="J21" i="3"/>
  <c r="I21" i="3"/>
  <c r="H21" i="3"/>
  <c r="G21" i="3"/>
  <c r="F21" i="3"/>
  <c r="E21" i="3"/>
  <c r="D21" i="3"/>
  <c r="C21" i="3"/>
  <c r="B21" i="3"/>
  <c r="J20" i="3"/>
  <c r="I20" i="3"/>
  <c r="H20" i="3"/>
  <c r="G20" i="3"/>
  <c r="F20" i="3"/>
  <c r="E20" i="3"/>
  <c r="D20" i="3"/>
  <c r="C20" i="3"/>
  <c r="B20" i="3"/>
  <c r="J19" i="3"/>
  <c r="I19" i="3"/>
  <c r="H19" i="3"/>
  <c r="G19" i="3"/>
  <c r="F19" i="3"/>
  <c r="E19" i="3"/>
  <c r="D19" i="3"/>
  <c r="C19" i="3"/>
  <c r="B19" i="3"/>
  <c r="J18" i="3"/>
  <c r="I18" i="3"/>
  <c r="H18" i="3"/>
  <c r="G18" i="3"/>
  <c r="F18" i="3"/>
  <c r="E18" i="3"/>
  <c r="D18" i="3"/>
  <c r="C18" i="3"/>
  <c r="B18" i="3"/>
  <c r="G12" i="3"/>
  <c r="F12" i="3"/>
  <c r="E12" i="3"/>
  <c r="D12" i="3"/>
  <c r="C12" i="3"/>
  <c r="B12" i="3"/>
  <c r="F11" i="3"/>
  <c r="E11" i="3"/>
  <c r="D11" i="3"/>
  <c r="C11" i="3"/>
  <c r="B11" i="3"/>
  <c r="G11" i="3" s="1"/>
  <c r="F10" i="3"/>
  <c r="E10" i="3"/>
  <c r="D10" i="3"/>
  <c r="C10" i="3"/>
  <c r="B10" i="3"/>
  <c r="G10" i="3" s="1"/>
  <c r="F9" i="3"/>
  <c r="E9" i="3"/>
  <c r="D9" i="3"/>
  <c r="C9" i="3"/>
  <c r="B9" i="3"/>
  <c r="G9" i="3" s="1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L15" i="2"/>
  <c r="K15" i="2"/>
  <c r="J15" i="2"/>
  <c r="I15" i="2"/>
  <c r="H15" i="2"/>
  <c r="G15" i="2"/>
  <c r="F15" i="2"/>
  <c r="E15" i="2"/>
  <c r="D15" i="2"/>
  <c r="C15" i="2"/>
  <c r="B24" i="5" l="1"/>
  <c r="D13" i="3"/>
  <c r="C13" i="3"/>
  <c r="E13" i="3"/>
  <c r="F13" i="3"/>
  <c r="B13" i="3"/>
  <c r="G13" i="3" s="1"/>
</calcChain>
</file>

<file path=xl/sharedStrings.xml><?xml version="1.0" encoding="utf-8"?>
<sst xmlns="http://schemas.openxmlformats.org/spreadsheetml/2006/main" count="1663" uniqueCount="546">
  <si>
    <t>PLANIFICACIÓN DE CITAS — TÉCNICOS NE4 FIBRA ÓPTICA (Umtelkomd)</t>
  </si>
  <si>
    <t>Horario: 08:00-17:00  |  Total citas: 77  |  Última actualización: 07/02/2026 17:17</t>
  </si>
  <si>
    <t>ASIGNACIÓN DE TÉCNICOS (máx. 7)</t>
  </si>
  <si>
    <t>Semana</t>
  </si>
  <si>
    <t>Fecha</t>
  </si>
  <si>
    <t>Día</t>
  </si>
  <si>
    <t>Hora Inicio</t>
  </si>
  <si>
    <t>Hora Fin</t>
  </si>
  <si>
    <t>Nº HA</t>
  </si>
  <si>
    <t>Tipo de Trabajo</t>
  </si>
  <si>
    <t>TK Req.</t>
  </si>
  <si>
    <t>Unidades</t>
  </si>
  <si>
    <t>Tipo</t>
  </si>
  <si>
    <t>Cód. Postal</t>
  </si>
  <si>
    <t>Ciudad</t>
  </si>
  <si>
    <t>Dirección</t>
  </si>
  <si>
    <t>Código Área</t>
  </si>
  <si>
    <t>Contacto</t>
  </si>
  <si>
    <t>Email</t>
  </si>
  <si>
    <t>Teléfono</t>
  </si>
  <si>
    <t>Técnico 1</t>
  </si>
  <si>
    <t>Técnico 2</t>
  </si>
  <si>
    <t>Técnico 3</t>
  </si>
  <si>
    <t>Técnico 4</t>
  </si>
  <si>
    <t>Técnico 5</t>
  </si>
  <si>
    <t>Técnico 6</t>
  </si>
  <si>
    <t>Técnico 7</t>
  </si>
  <si>
    <t>Estado</t>
  </si>
  <si>
    <t>Notas Acceso</t>
  </si>
  <si>
    <t>Materiales</t>
  </si>
  <si>
    <t>Costo Est. (€)</t>
  </si>
  <si>
    <t>Costo Real (€)</t>
  </si>
  <si>
    <t>Fotos</t>
  </si>
  <si>
    <t>Observaciones</t>
  </si>
  <si>
    <t>S07</t>
  </si>
  <si>
    <t>2026-02-09</t>
  </si>
  <si>
    <t>Lunes</t>
  </si>
  <si>
    <t>08:00</t>
  </si>
  <si>
    <t>12:00</t>
  </si>
  <si>
    <t>HA898706</t>
  </si>
  <si>
    <t>Installation + WC</t>
  </si>
  <si>
    <t>WE</t>
  </si>
  <si>
    <t>32549</t>
  </si>
  <si>
    <t>Bad Oeynhausen Dehme Wasserstraße 52</t>
  </si>
  <si>
    <t>01-01-05-0028-0007-Dehme</t>
  </si>
  <si>
    <t>Vitus Schulte</t>
  </si>
  <si>
    <t>verwaltung@beckschewe-immo.de</t>
  </si>
  <si>
    <t>0573153245, 05731537700</t>
  </si>
  <si>
    <t>Pendiente</t>
  </si>
  <si>
    <t>Reprogramado; Tocar timbre</t>
  </si>
  <si>
    <t>13:00</t>
  </si>
  <si>
    <t>HA488651</t>
  </si>
  <si>
    <t>33428</t>
  </si>
  <si>
    <t>Harsewinkel Ostheide 21</t>
  </si>
  <si>
    <t>01-03-05-0061-0002-Harsewinkel-Ost</t>
  </si>
  <si>
    <t>Ulrich Fritsch</t>
  </si>
  <si>
    <t>Ulrich-fritsch@web.de</t>
  </si>
  <si>
    <t>Reprogramado</t>
  </si>
  <si>
    <t>13:30</t>
  </si>
  <si>
    <t>HA212990</t>
  </si>
  <si>
    <t>32816</t>
  </si>
  <si>
    <t>Schieder Schwalenberg Steinheimer Straße 25</t>
  </si>
  <si>
    <t>01-03-05-0025-0003-Lothe</t>
  </si>
  <si>
    <t>Alexander Aulbur</t>
  </si>
  <si>
    <t>steinheim25@outlook.de</t>
  </si>
  <si>
    <t>17:00</t>
  </si>
  <si>
    <t>HA898825</t>
  </si>
  <si>
    <t>Bad Oeynhausen Dehmer Grund 12</t>
  </si>
  <si>
    <t>Herr Paulsmeier  (ET)</t>
  </si>
  <si>
    <t>annette-boebau@web.de</t>
  </si>
  <si>
    <t>017644555176, 0573151678</t>
  </si>
  <si>
    <t>2026-02-10</t>
  </si>
  <si>
    <t>Martes</t>
  </si>
  <si>
    <t>HA1053649</t>
  </si>
  <si>
    <t>Otro</t>
  </si>
  <si>
    <t>49328</t>
  </si>
  <si>
    <t>Melle Buer Burtonstraße 11</t>
  </si>
  <si>
    <t>01-01-03-0079-0001-Buer-Burtonstr</t>
  </si>
  <si>
    <t>Kf@hensiek.com</t>
  </si>
  <si>
    <t>016092627547</t>
  </si>
  <si>
    <t>15:00</t>
  </si>
  <si>
    <t>HA1053643</t>
  </si>
  <si>
    <t>Melle Buer Burtonstraße 27</t>
  </si>
  <si>
    <t>2026-02-11</t>
  </si>
  <si>
    <t>Miércoles</t>
  </si>
  <si>
    <t>HA489775</t>
  </si>
  <si>
    <t>Harsewinkel Thüringer Weg 4</t>
  </si>
  <si>
    <t>HA211385</t>
  </si>
  <si>
    <t>Schieder Schwalenberg Marktstraße 3</t>
  </si>
  <si>
    <t>01-03-05-0029-0003-Schwalenberg</t>
  </si>
  <si>
    <t>Annegret Dreyer</t>
  </si>
  <si>
    <t>2026-02-12</t>
  </si>
  <si>
    <t>Jueves</t>
  </si>
  <si>
    <t>HA211475</t>
  </si>
  <si>
    <t>Schieder Schwalenberg U</t>
  </si>
  <si>
    <t>Andrea Wlodarczyk</t>
  </si>
  <si>
    <t>wlodarczyk@t-online.de</t>
  </si>
  <si>
    <t>+4952845239</t>
  </si>
  <si>
    <t>HA755683</t>
  </si>
  <si>
    <t>49143</t>
  </si>
  <si>
    <t>Bissendorf Bad Essener Straße 4</t>
  </si>
  <si>
    <t>01-01-03-0072-0001-Schledehausen</t>
  </si>
  <si>
    <t>Gerd Vrieler</t>
  </si>
  <si>
    <t>2026-02-13</t>
  </si>
  <si>
    <t>Viernes</t>
  </si>
  <si>
    <t>HA1053641</t>
  </si>
  <si>
    <t>Melle Buer Burtonstraße 29</t>
  </si>
  <si>
    <t>HA1053638</t>
  </si>
  <si>
    <t>Melle Buer Burtonstraße 33</t>
  </si>
  <si>
    <t>S08</t>
  </si>
  <si>
    <t>2026-02-16</t>
  </si>
  <si>
    <t>HA707397</t>
  </si>
  <si>
    <t>33014</t>
  </si>
  <si>
    <t>Bad Driburg Hildegundestraße 15</t>
  </si>
  <si>
    <t>01-03-05-0076-0004-BDrib-Kern</t>
  </si>
  <si>
    <t>Gerd Wöstenkühler</t>
  </si>
  <si>
    <t>gwoesten@web.de</t>
  </si>
  <si>
    <t>HA211369</t>
  </si>
  <si>
    <t>Schieder Schwalenberg Neue Torstraße 55</t>
  </si>
  <si>
    <t>gfh-mom@t-online.de</t>
  </si>
  <si>
    <t>+49528496161</t>
  </si>
  <si>
    <t>HA754424</t>
  </si>
  <si>
    <t>Bissendorf Ulrichstraße 5</t>
  </si>
  <si>
    <t>01-01-03-0069-0001-NatbergenJeggen</t>
  </si>
  <si>
    <t>Martin Sauer</t>
  </si>
  <si>
    <t>martin.rulle@t-online.de</t>
  </si>
  <si>
    <t>015144556070</t>
  </si>
  <si>
    <t>Tocar timbre</t>
  </si>
  <si>
    <t>2026-02-17</t>
  </si>
  <si>
    <t>HA212903</t>
  </si>
  <si>
    <t>Schieder Schwalenberg Steinheimer Straße 24</t>
  </si>
  <si>
    <t>Thomas Fiene</t>
  </si>
  <si>
    <t>Info@fiene-wohnen.de</t>
  </si>
  <si>
    <t>+491705445508</t>
  </si>
  <si>
    <t>HA488691</t>
  </si>
  <si>
    <t>Harsewinkel Pappelweg 15</t>
  </si>
  <si>
    <t>Altmeyer Immobilien</t>
  </si>
  <si>
    <t>Laudage@altmeyer-immobilien.de</t>
  </si>
  <si>
    <t>0524792272022</t>
  </si>
  <si>
    <t>HA485462</t>
  </si>
  <si>
    <t>Installation</t>
  </si>
  <si>
    <t>Harsewinkel Ahornweg 30</t>
  </si>
  <si>
    <t>01-03-05-0060-0002-Harsewinkel-Wes</t>
  </si>
  <si>
    <t>2026-02-18</t>
  </si>
  <si>
    <t>HA706980</t>
  </si>
  <si>
    <t>WC</t>
  </si>
  <si>
    <t>Bad Driburg Caspar Heinrich Straße 10</t>
  </si>
  <si>
    <t>Herr Schönhoff</t>
  </si>
  <si>
    <t>Bsch@Schoenhoff.de</t>
  </si>
  <si>
    <t>01725252167, 01732933183</t>
  </si>
  <si>
    <t>14:00</t>
  </si>
  <si>
    <t>HA485469</t>
  </si>
  <si>
    <t>Harsewinkel Ahornweg 37</t>
  </si>
  <si>
    <t>Heinz Schößler</t>
  </si>
  <si>
    <t>heinz2025@gmx.de</t>
  </si>
  <si>
    <t>015751166087, 01745760498</t>
  </si>
  <si>
    <t>HA487787</t>
  </si>
  <si>
    <t>Harsewinkel Harsewinkel Jahnstraße 6</t>
  </si>
  <si>
    <t>louisinhetveld@gmail.com</t>
  </si>
  <si>
    <t>01601861127, 016094739398</t>
  </si>
  <si>
    <t>Reprogramado; Nueva construcción; Llave necesaria; Director de obra en sitio</t>
  </si>
  <si>
    <t>2026-02-19</t>
  </si>
  <si>
    <t>HA754999</t>
  </si>
  <si>
    <t>Bissendorf Schledehausen Kleiner Zuschlag 15</t>
  </si>
  <si>
    <t>Christian Heißing</t>
  </si>
  <si>
    <t>christian@heissing.de</t>
  </si>
  <si>
    <t>HA430733</t>
  </si>
  <si>
    <t>49163</t>
  </si>
  <si>
    <t>Bohmte Brockstraße 3</t>
  </si>
  <si>
    <t>01-01-03-0065-0001-Bohmte</t>
  </si>
  <si>
    <t>Johanna Meyer</t>
  </si>
  <si>
    <t>j-meyer18@web.de</t>
  </si>
  <si>
    <t>2026-02-20</t>
  </si>
  <si>
    <t>HA707839</t>
  </si>
  <si>
    <t>Bad Driburg Lange Straße 95</t>
  </si>
  <si>
    <t>Ejves Tominaj</t>
  </si>
  <si>
    <t>Zumbraunenhirschen@t-online.de</t>
  </si>
  <si>
    <t>HA488698</t>
  </si>
  <si>
    <t>Harsewinkel Pappelweg 9</t>
  </si>
  <si>
    <t>Info@korf-gmbh.de</t>
  </si>
  <si>
    <t>HA707146</t>
  </si>
  <si>
    <t>Bad Driburg Eggiweg 2</t>
  </si>
  <si>
    <t>Magdalena Ziegerowski</t>
  </si>
  <si>
    <t>japur@t-online.de</t>
  </si>
  <si>
    <t>S09</t>
  </si>
  <si>
    <t>2026-02-23</t>
  </si>
  <si>
    <t>HA755769</t>
  </si>
  <si>
    <t>WH</t>
  </si>
  <si>
    <t>Bissendorf Bergstr. 15</t>
  </si>
  <si>
    <t>Jörg Läkamp</t>
  </si>
  <si>
    <t>j.laekamp@osnanet.de</t>
  </si>
  <si>
    <t>017663218739</t>
  </si>
  <si>
    <t>15:30</t>
  </si>
  <si>
    <t>HA754767</t>
  </si>
  <si>
    <t>Bissendorf Südstraße 5</t>
  </si>
  <si>
    <t>Ralf Moor</t>
  </si>
  <si>
    <t>info@zaunmoor.de</t>
  </si>
  <si>
    <t>01758004913, 054024895</t>
  </si>
  <si>
    <t>HA755773</t>
  </si>
  <si>
    <t>Bissendorf Bergstr. 13</t>
  </si>
  <si>
    <t>2026-02-24</t>
  </si>
  <si>
    <t>HA754073</t>
  </si>
  <si>
    <t>Bissendorf Mindenerstr.55</t>
  </si>
  <si>
    <t>Rena Karpasand</t>
  </si>
  <si>
    <t>karpasand@gmx.de</t>
  </si>
  <si>
    <t>+4954026919991, 015170842533</t>
  </si>
  <si>
    <t>HA755803</t>
  </si>
  <si>
    <t>Bissendorf Heinrich Gerdom Straße 19</t>
  </si>
  <si>
    <t>Maschmeyer Immobilien</t>
  </si>
  <si>
    <t>pantke@immobilien-maschmeyer.de</t>
  </si>
  <si>
    <t>2026-02-25</t>
  </si>
  <si>
    <t>HA409104</t>
  </si>
  <si>
    <t>34414</t>
  </si>
  <si>
    <t>Warburg Warburg Fichtenweg 1</t>
  </si>
  <si>
    <t>01-03-05-0039-0010-Warburg-Z</t>
  </si>
  <si>
    <t>Carsten Wolff</t>
  </si>
  <si>
    <t>carsten@wolff-rehermann.de</t>
  </si>
  <si>
    <t>01712379749</t>
  </si>
  <si>
    <t>HA755688</t>
  </si>
  <si>
    <t>Bissendorf Dürerstraße 5</t>
  </si>
  <si>
    <t>Roland Arndt</t>
  </si>
  <si>
    <t>roland.arndt@osnanet.de</t>
  </si>
  <si>
    <t>01717853841, 0540299500</t>
  </si>
  <si>
    <t>HA1118948</t>
  </si>
  <si>
    <t>49086</t>
  </si>
  <si>
    <t>Osnabrück Darum Gretesch Lüstringen Mindener Straße 441</t>
  </si>
  <si>
    <t>01-01-03-0084-0001-Lüstringen-OSt</t>
  </si>
  <si>
    <t>Andreas Lüttig</t>
  </si>
  <si>
    <t>Aluettig1971@gmail.com</t>
  </si>
  <si>
    <t>08437329</t>
  </si>
  <si>
    <t>2026-02-26</t>
  </si>
  <si>
    <t>HA706882</t>
  </si>
  <si>
    <t>Bad Driburg Bernhard Brinkmöller Straße 17</t>
  </si>
  <si>
    <t>HA707405</t>
  </si>
  <si>
    <t>33014 Bad Driburg Bad Driburg Hildegundestraße 6</t>
  </si>
  <si>
    <t>Antonius Wiethaup</t>
  </si>
  <si>
    <t>towiethaup@web.de</t>
  </si>
  <si>
    <t>HA755766</t>
  </si>
  <si>
    <t>Bissendorf Bergstraße 17</t>
  </si>
  <si>
    <t>Frau Fahrmeyer</t>
  </si>
  <si>
    <t>fahrmeyer@immobilien-maschmeyer.de</t>
  </si>
  <si>
    <t>2026-02-27</t>
  </si>
  <si>
    <t>HA755772</t>
  </si>
  <si>
    <t>Bissendorf Bergstraße 12</t>
  </si>
  <si>
    <t>Florian Buddeke</t>
  </si>
  <si>
    <t>f_buddeke@gmx.de</t>
  </si>
  <si>
    <t>01712858155</t>
  </si>
  <si>
    <t>HA1053779</t>
  </si>
  <si>
    <t>Melle Buer Stuckenbergstraße 11</t>
  </si>
  <si>
    <t>01-01-03-0078-0001-Buer-Überbau</t>
  </si>
  <si>
    <t>Stephan Schiermeyer</t>
  </si>
  <si>
    <t>Stephan.schiermeyer@web.de</t>
  </si>
  <si>
    <t>S10</t>
  </si>
  <si>
    <t>2026-03-02</t>
  </si>
  <si>
    <t>HA485861</t>
  </si>
  <si>
    <t>Harsewinkel An der Wippe 9c</t>
  </si>
  <si>
    <t>A.cetin@altmeyer-immobilien.de</t>
  </si>
  <si>
    <t>HA708505</t>
  </si>
  <si>
    <t>Bad Driburg Vor der Brede 11</t>
  </si>
  <si>
    <t>Willy-schopp@gmx.de</t>
  </si>
  <si>
    <t>2026-03-03</t>
  </si>
  <si>
    <t>HA764742</t>
  </si>
  <si>
    <t>48155</t>
  </si>
  <si>
    <t>Münster Mauritz Ost Wolbecker Straße 298</t>
  </si>
  <si>
    <t>01-03-05-0082-0007-StMauritz</t>
  </si>
  <si>
    <t>Frau Stechmann wird vor Ort sein.</t>
  </si>
  <si>
    <t>Henni.stechmann@gmx.de</t>
  </si>
  <si>
    <t>HA306125</t>
  </si>
  <si>
    <t>49584</t>
  </si>
  <si>
    <t>Fürstenau Große Straße 12</t>
  </si>
  <si>
    <t>01-01-03-0060-0002-Fürst-Wärmenetz</t>
  </si>
  <si>
    <t>Frau Keßler kommt sofort</t>
  </si>
  <si>
    <t>info@goldschmiede-kessler.de</t>
  </si>
  <si>
    <t>02605901201, 02905901</t>
  </si>
  <si>
    <t>Reprogramado; Llave necesaria</t>
  </si>
  <si>
    <t>2026-03-04</t>
  </si>
  <si>
    <t>HA764743</t>
  </si>
  <si>
    <t>Münster Mauritz Ost Wolbecker Straße 300</t>
  </si>
  <si>
    <t>HA755074</t>
  </si>
  <si>
    <t>2026-03-05</t>
  </si>
  <si>
    <t>HA754762</t>
  </si>
  <si>
    <t>Bissendorf Mindener Straße 23</t>
  </si>
  <si>
    <t>Michael Heckmann</t>
  </si>
  <si>
    <t>heckis@osnanet.de</t>
  </si>
  <si>
    <t>01744764560, 054022974</t>
  </si>
  <si>
    <t>16:00</t>
  </si>
  <si>
    <t>HA762173</t>
  </si>
  <si>
    <t>Münster Mauritz Ost Frauenburgstraße 21</t>
  </si>
  <si>
    <t>Mail@hv-sb.de</t>
  </si>
  <si>
    <t>01739930024</t>
  </si>
  <si>
    <t>2026-03-06</t>
  </si>
  <si>
    <t>HA898713</t>
  </si>
  <si>
    <t>Bad Oeynhausen Dehme Wasserstraße 16</t>
  </si>
  <si>
    <t>Reinhard Kruse</t>
  </si>
  <si>
    <t>larskruse27@gmail.com</t>
  </si>
  <si>
    <t>015151890483, 057347141</t>
  </si>
  <si>
    <t>S11</t>
  </si>
  <si>
    <t>2026-03-09</t>
  </si>
  <si>
    <t>HA1118971</t>
  </si>
  <si>
    <t>Osnabrück Darum Gretesch Lüstringen Sackstraße 8</t>
  </si>
  <si>
    <t>Hermann.tiemann@osnanet.de</t>
  </si>
  <si>
    <t>HA1053778</t>
  </si>
  <si>
    <t>Melle Buer Stuckenbergstraße 5</t>
  </si>
  <si>
    <t>Wassili Blaz</t>
  </si>
  <si>
    <t>Wili43@web.de</t>
  </si>
  <si>
    <t>2026-03-10</t>
  </si>
  <si>
    <t>HA921064</t>
  </si>
  <si>
    <t>49597</t>
  </si>
  <si>
    <t>Rieste Am Sundern 1</t>
  </si>
  <si>
    <t>01-01-03-0076-0002-Rieste-Ort</t>
  </si>
  <si>
    <t>Annette Dierend</t>
  </si>
  <si>
    <t>a.dierend@freenet.de</t>
  </si>
  <si>
    <t>054645925</t>
  </si>
  <si>
    <t>HA1118972</t>
  </si>
  <si>
    <t>Osnabrück Darum Gretesch Lüstringen Sackstraße 14</t>
  </si>
  <si>
    <t>Herr Tiemann ist vor Ort. HA1118972</t>
  </si>
  <si>
    <t>HA755764</t>
  </si>
  <si>
    <t>2026-03-11</t>
  </si>
  <si>
    <t>HA708588</t>
  </si>
  <si>
    <t>Bad Driburg Bad Driburg Zum Hillenwasser 20</t>
  </si>
  <si>
    <t>Reinhard Lücking</t>
  </si>
  <si>
    <t>b.ever@allerkamp-luecking.de</t>
  </si>
  <si>
    <t>HA755194</t>
  </si>
  <si>
    <t>Bissendorf Schledehausen Melanchthonstraße 9</t>
  </si>
  <si>
    <t>Christopf Anneeken</t>
  </si>
  <si>
    <t>anneken@gmx.de</t>
  </si>
  <si>
    <t>2026-03-12</t>
  </si>
  <si>
    <t>HA410135</t>
  </si>
  <si>
    <t>Warburg August Dissen Str. 21</t>
  </si>
  <si>
    <t>Ulrich Bickmann</t>
  </si>
  <si>
    <t>Info@schinkenfee.de</t>
  </si>
  <si>
    <t>056416213</t>
  </si>
  <si>
    <t>HA899208</t>
  </si>
  <si>
    <t>Bad Oeynhausen Dehme Breitensiek 14</t>
  </si>
  <si>
    <t>Johann Frank</t>
  </si>
  <si>
    <t>gartenservice-frank@t-online.de</t>
  </si>
  <si>
    <t>2026-03-13</t>
  </si>
  <si>
    <t>HA409596</t>
  </si>
  <si>
    <t>Warburg Warburg Joseph Kohlschein Str. 46</t>
  </si>
  <si>
    <t>Angelika Salberg</t>
  </si>
  <si>
    <t>angelika.salberg@t-online.de</t>
  </si>
  <si>
    <t>01776168413, 056416507</t>
  </si>
  <si>
    <t>S12</t>
  </si>
  <si>
    <t>2026-03-16</t>
  </si>
  <si>
    <t>HA1314521</t>
  </si>
  <si>
    <t>49565</t>
  </si>
  <si>
    <t>Bramsche Neustädter Straße 30</t>
  </si>
  <si>
    <t>01-01-03-0087-0002-Kalkriese</t>
  </si>
  <si>
    <t>Frau Lamla sagt allen Bescheid HA1314521</t>
  </si>
  <si>
    <t>katrin.lamla@mail.de</t>
  </si>
  <si>
    <t>HA431441</t>
  </si>
  <si>
    <t>Bohmte Bremer Straße 30</t>
  </si>
  <si>
    <t>Heinrich Beckmann</t>
  </si>
  <si>
    <t>ra-beckmann@t-online.de</t>
  </si>
  <si>
    <t>2026-03-17</t>
  </si>
  <si>
    <t>HA305685</t>
  </si>
  <si>
    <t>Fürstenau Kirchstraße 6</t>
  </si>
  <si>
    <t>Herr Frank</t>
  </si>
  <si>
    <t>c.bruennel@wekagmbh.de</t>
  </si>
  <si>
    <t>+49546272278, 01629251268</t>
  </si>
  <si>
    <t>2026-03-18</t>
  </si>
  <si>
    <t>HA920962</t>
  </si>
  <si>
    <t>Rieste Rieste Bahnhofstraße 6</t>
  </si>
  <si>
    <t>Herr Lamma klingeln</t>
  </si>
  <si>
    <t>054643357003</t>
  </si>
  <si>
    <t>HA898849</t>
  </si>
  <si>
    <t>Bad Oeynhausen Dehme Ostpreußische Straße 3</t>
  </si>
  <si>
    <t>rene@ruschmeier.eu</t>
  </si>
  <si>
    <t>01795161244</t>
  </si>
  <si>
    <t>2026-03-19</t>
  </si>
  <si>
    <t>HA763651</t>
  </si>
  <si>
    <t>Münster Mauritz Ost Manfred von Richthofen Straße 94</t>
  </si>
  <si>
    <t>martin.multhaupt@helimail.de</t>
  </si>
  <si>
    <t>2026-03-20</t>
  </si>
  <si>
    <t>HA1118957</t>
  </si>
  <si>
    <t>Osnabrück Darum Gretesch Lüstringen Mindener Straße 442</t>
  </si>
  <si>
    <t>Jschmelter1949@gmail.com</t>
  </si>
  <si>
    <t>S13</t>
  </si>
  <si>
    <t>2026-03-23</t>
  </si>
  <si>
    <t>HA754702</t>
  </si>
  <si>
    <t>Bissendorf Pundmanns Breite 4</t>
  </si>
  <si>
    <t>Holger Demke</t>
  </si>
  <si>
    <t>holger.demke@t-online.de</t>
  </si>
  <si>
    <t>01702429228, 02429228</t>
  </si>
  <si>
    <t>HA755020</t>
  </si>
  <si>
    <t>Bissendorf Neue Straße 12</t>
  </si>
  <si>
    <t>Lukas Rosenthal</t>
  </si>
  <si>
    <t>rosenthal.lukas@gmx.de</t>
  </si>
  <si>
    <t>017684356086</t>
  </si>
  <si>
    <t>2026-03-24</t>
  </si>
  <si>
    <t>HA416526</t>
  </si>
  <si>
    <t>Fürstenau Breslauer Straße 13</t>
  </si>
  <si>
    <t>01-01-03-0064-0002-Fürst-Phase2</t>
  </si>
  <si>
    <t>Heinz Macke</t>
  </si>
  <si>
    <t>heinz-macke@gmx.de</t>
  </si>
  <si>
    <t>+4954392122</t>
  </si>
  <si>
    <t>2026-03-25</t>
  </si>
  <si>
    <t>HA430671</t>
  </si>
  <si>
    <t>Bohmte Theodor Heuss Straße 1</t>
  </si>
  <si>
    <t>Sigrid Pfeifer</t>
  </si>
  <si>
    <t>ffietz@web.de</t>
  </si>
  <si>
    <t>2026-03-26</t>
  </si>
  <si>
    <t>HA755758</t>
  </si>
  <si>
    <t>Bissendorf Neue Straße 45</t>
  </si>
  <si>
    <t>Heinrich Dreier</t>
  </si>
  <si>
    <t>heinrichdreier@gms.de</t>
  </si>
  <si>
    <t>015225120284, 026446758</t>
  </si>
  <si>
    <t>2026-03-27</t>
  </si>
  <si>
    <t>HA408854</t>
  </si>
  <si>
    <t>Warburg Lindenweg 15</t>
  </si>
  <si>
    <t>Frau Kiehle-Dunsche</t>
  </si>
  <si>
    <t>johannesgrautstueck@gmx.de</t>
  </si>
  <si>
    <t>015156088690, 03344954</t>
  </si>
  <si>
    <t>S14</t>
  </si>
  <si>
    <t>2026-03-30</t>
  </si>
  <si>
    <t>HA763631</t>
  </si>
  <si>
    <t>Münster Mauritz Ost Maikottenweg 98</t>
  </si>
  <si>
    <t>ute667@gmx.de</t>
  </si>
  <si>
    <t>0251314634</t>
  </si>
  <si>
    <t>2026-03-31</t>
  </si>
  <si>
    <t>HA707863</t>
  </si>
  <si>
    <t>Bad Driburg Bad Driburg Leipziger Straße 5</t>
  </si>
  <si>
    <t>Boris Kirsch</t>
  </si>
  <si>
    <t>barbariski@web.de</t>
  </si>
  <si>
    <t>01627366976</t>
  </si>
  <si>
    <t>HA707643</t>
  </si>
  <si>
    <t>Bad Driburg Bad Driburg Königsberger Straße 7</t>
  </si>
  <si>
    <t>Marianne Wieneke</t>
  </si>
  <si>
    <t>052536465</t>
  </si>
  <si>
    <t>2026-04-01</t>
  </si>
  <si>
    <t>HA409039</t>
  </si>
  <si>
    <t>Warburg Warburg Eschenweg 2</t>
  </si>
  <si>
    <t>Hubert Gellings</t>
  </si>
  <si>
    <t>ugellings@gellings-kollegen.de</t>
  </si>
  <si>
    <t>017611803241</t>
  </si>
  <si>
    <t>2026-04-02</t>
  </si>
  <si>
    <t>HA281328</t>
  </si>
  <si>
    <t>32676</t>
  </si>
  <si>
    <t>Lügde Goethestraße 27</t>
  </si>
  <si>
    <t>01-03-05-0033-0003-Luegde</t>
  </si>
  <si>
    <t>Dirk Hertzfeldt</t>
  </si>
  <si>
    <t>h.olga@t-online.de</t>
  </si>
  <si>
    <t>09490673</t>
  </si>
  <si>
    <t>S16</t>
  </si>
  <si>
    <t>2026-04-13</t>
  </si>
  <si>
    <t>HA306019</t>
  </si>
  <si>
    <t>Fürstenau Bahnhofstraße 35</t>
  </si>
  <si>
    <t>Roland Doll</t>
  </si>
  <si>
    <t>dr.rodo@web.de</t>
  </si>
  <si>
    <t>DASHBOARD SEMANAL — CARGA Y CAPACIDAD</t>
  </si>
  <si>
    <t>Horario laboral: 08:00 - 17:00  |  Capacidad: 2 técnicos = 4.5 unidades/día  |  7 técnicos = 3 parejas + 1</t>
  </si>
  <si>
    <t>RESUMEN POR SEMANA</t>
  </si>
  <si>
    <t>Rango Fechas</t>
  </si>
  <si>
    <t>Total Citas</t>
  </si>
  <si>
    <t>Total Unidades</t>
  </si>
  <si>
    <t>TK Máx. Req.</t>
  </si>
  <si>
    <t>2026-02-09 → 2026-02-13</t>
  </si>
  <si>
    <t>2026-02-16 → 2026-02-20</t>
  </si>
  <si>
    <t>2026-02-23 → 2026-02-27</t>
  </si>
  <si>
    <t>2026-03-02 → 2026-03-06</t>
  </si>
  <si>
    <t>2026-03-09 → 2026-03-13</t>
  </si>
  <si>
    <t>2026-03-16 → 2026-03-20</t>
  </si>
  <si>
    <t>2026-03-23 → 2026-03-27</t>
  </si>
  <si>
    <t>2026-03-30 → 2026-04-02</t>
  </si>
  <si>
    <t>2026-04-13 → 2026-04-13</t>
  </si>
  <si>
    <t>TOTAL</t>
  </si>
  <si>
    <t>CAPACIDAD vs DEMANDA</t>
  </si>
  <si>
    <t>Unidades Programadas</t>
  </si>
  <si>
    <t>Capacidad Semanal (67.5u)</t>
  </si>
  <si>
    <t>% Utilización</t>
  </si>
  <si>
    <t>TK Extra Necesarios</t>
  </si>
  <si>
    <t>Holgura (unidades)</t>
  </si>
  <si>
    <t>CARGA Y RENDIMIENTO POR TÉCNICO</t>
  </si>
  <si>
    <t>Fórmulas automáticas ← hoja 'Citas' columnas R-X. Asigne técnicos allí.</t>
  </si>
  <si>
    <t>Técnico</t>
  </si>
  <si>
    <t>Citas Asignadas</t>
  </si>
  <si>
    <t>Pendientes</t>
  </si>
  <si>
    <t>En Progreso</t>
  </si>
  <si>
    <t>Completadas</t>
  </si>
  <si>
    <t>Unidades Totales</t>
  </si>
  <si>
    <t>% Completado</t>
  </si>
  <si>
    <t>Alejandro Herrera</t>
  </si>
  <si>
    <t>Alexander Herrera</t>
  </si>
  <si>
    <t>Eddier Aladana</t>
  </si>
  <si>
    <t>Michel Matos</t>
  </si>
  <si>
    <t>Alejandro Matos</t>
  </si>
  <si>
    <t>Esteban Matos</t>
  </si>
  <si>
    <t>Juan Correa</t>
  </si>
  <si>
    <t>CARGA SEMANAL POR TÉCNICO</t>
  </si>
  <si>
    <t>DISTRIBUCIÓN GEOGRÁFICA DE CITAS</t>
  </si>
  <si>
    <t>Zona (Cód. Postal + Ciudad)</t>
  </si>
  <si>
    <t>TK Promedio</t>
  </si>
  <si>
    <t>Tipos de Trabajo</t>
  </si>
  <si>
    <t>Técnico Sugerido</t>
  </si>
  <si>
    <t xml:space="preserve">49143 </t>
  </si>
  <si>
    <t>Installation + WC, WC</t>
  </si>
  <si>
    <t xml:space="preserve">33014 </t>
  </si>
  <si>
    <t>Installation, Installation + WC, WC</t>
  </si>
  <si>
    <t xml:space="preserve">49328 </t>
  </si>
  <si>
    <t>Installation + WC, Otro</t>
  </si>
  <si>
    <t xml:space="preserve">33428 </t>
  </si>
  <si>
    <t>Installation, Installation + WC</t>
  </si>
  <si>
    <t xml:space="preserve">32816 </t>
  </si>
  <si>
    <t xml:space="preserve">34414 </t>
  </si>
  <si>
    <t xml:space="preserve">48155 </t>
  </si>
  <si>
    <t>Installation, Installation + WC, Otro</t>
  </si>
  <si>
    <t xml:space="preserve">49086 </t>
  </si>
  <si>
    <t xml:space="preserve">49584 </t>
  </si>
  <si>
    <t xml:space="preserve">32549 </t>
  </si>
  <si>
    <t xml:space="preserve">49163 </t>
  </si>
  <si>
    <t>33428 Harsewinkel Ostheide 21</t>
  </si>
  <si>
    <t>32549 Bad Oeynhausen Dehmer Grund 12</t>
  </si>
  <si>
    <t>49143 Bissendorf Schledehausen Kleiner Zuschlag 15</t>
  </si>
  <si>
    <t>33428 Harsewinkel An der Wippe 9c</t>
  </si>
  <si>
    <t>33014 Bad Driburg Vor der Brede 11</t>
  </si>
  <si>
    <t>49597 Rieste Am Sundern 1</t>
  </si>
  <si>
    <t>33014 Bad Driburg Bad Driburg Zum Hillenwasser 20</t>
  </si>
  <si>
    <t>32549 Bad Oeynhausen Dehme Breitensiek 14</t>
  </si>
  <si>
    <t xml:space="preserve">49565 </t>
  </si>
  <si>
    <t xml:space="preserve">49597 </t>
  </si>
  <si>
    <t>49143 Bissendorf Pundmanns Breite 4</t>
  </si>
  <si>
    <t xml:space="preserve">32676 </t>
  </si>
  <si>
    <t>INDICADORES CLAVE DE RENDIMIENTO</t>
  </si>
  <si>
    <t>PROGRESO</t>
  </si>
  <si>
    <t>Total Citas Programadas</t>
  </si>
  <si>
    <t>Reprogramadas</t>
  </si>
  <si>
    <t>Canceladas</t>
  </si>
  <si>
    <t>VOLUMEN</t>
  </si>
  <si>
    <t>Total Unidades (WH+WE)</t>
  </si>
  <si>
    <t>Total WH</t>
  </si>
  <si>
    <t>Total WE</t>
  </si>
  <si>
    <t>COSTOS</t>
  </si>
  <si>
    <t>Costo Total Estimado (€)</t>
  </si>
  <si>
    <t>Costo Total Real (€)</t>
  </si>
  <si>
    <t>Variación (€)</t>
  </si>
  <si>
    <t>ASIGNACIÓN</t>
  </si>
  <si>
    <t>Citas Sin Técnico</t>
  </si>
  <si>
    <t>Técnicos Asignados (distintos)</t>
  </si>
  <si>
    <t>Evidencias Pendientes</t>
  </si>
  <si>
    <t>BLOQUES DE DISPONIBILIDAD POR EQUIPO</t>
  </si>
  <si>
    <t>Equipo</t>
  </si>
  <si>
    <t>Team 1</t>
  </si>
  <si>
    <t>Team 2</t>
  </si>
  <si>
    <t>Contratista 1</t>
  </si>
  <si>
    <t>Contratista 2</t>
  </si>
  <si>
    <t>Contratista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</si>
</sst>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B2A4A"/>
      <name val="Arial"/>
      <family val="2"/>
    </font>
    <font>
      <i/>
      <sz val="10"/>
      <color rgb="FF2E509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2E5090"/>
      <name val="Arial"/>
      <family val="2"/>
    </font>
    <font>
      <b/>
      <sz val="10"/>
      <name val="Arial"/>
      <family val="2"/>
    </font>
    <font>
      <b/>
      <sz val="11"/>
      <color rgb="FF1B2A4A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5090"/>
        <bgColor rgb="FF0066CC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4" fontId="6" fillId="4" borderId="1" xfId="0" applyNumberFormat="1" applyFont="1" applyFill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8" fillId="5" borderId="1" xfId="0" applyFont="1" applyFill="1" applyBorder="1"/>
    <xf numFmtId="164" fontId="6" fillId="0" borderId="1" xfId="0" applyNumberFormat="1" applyFont="1" applyBorder="1" applyAlignment="1">
      <alignment vertical="center" wrapText="1"/>
    </xf>
    <xf numFmtId="164" fontId="6" fillId="4" borderId="1" xfId="0" applyNumberFormat="1" applyFont="1" applyFill="1" applyBorder="1" applyAlignment="1">
      <alignment vertical="center" wrapText="1"/>
    </xf>
    <xf numFmtId="164" fontId="8" fillId="5" borderId="1" xfId="0" applyNumberFormat="1" applyFont="1" applyFill="1" applyBorder="1"/>
    <xf numFmtId="0" fontId="7" fillId="5" borderId="0" xfId="0" applyFont="1" applyFill="1"/>
    <xf numFmtId="0" fontId="0" fillId="5" borderId="0" xfId="0" applyFill="1"/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3" fillId="0" borderId="0" xfId="0" applyFont="1"/>
    <xf numFmtId="20" fontId="6" fillId="0" borderId="1" xfId="0" applyNumberFormat="1" applyFont="1" applyBorder="1" applyAlignment="1">
      <alignment vertical="center" wrapText="1"/>
    </xf>
    <xf numFmtId="20" fontId="6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9">
    <dxf>
      <fill>
        <patternFill>
          <bgColor rgb="FFDC3545"/>
        </patternFill>
      </fill>
    </dxf>
    <dxf>
      <fill>
        <patternFill>
          <bgColor rgb="FFFFC107"/>
        </patternFill>
      </fill>
    </dxf>
    <dxf>
      <fill>
        <patternFill>
          <bgColor rgb="FF28A745"/>
        </patternFill>
      </fill>
    </dxf>
    <dxf>
      <fill>
        <patternFill>
          <bgColor rgb="FFDC3545"/>
        </patternFill>
      </fill>
    </dxf>
    <dxf>
      <fill>
        <patternFill>
          <bgColor rgb="FFDC3545"/>
        </patternFill>
      </fill>
    </dxf>
    <dxf>
      <fill>
        <patternFill>
          <bgColor rgb="FFFD7E14"/>
        </patternFill>
      </fill>
    </dxf>
    <dxf>
      <fill>
        <patternFill>
          <bgColor rgb="FF28A745"/>
        </patternFill>
      </fill>
    </dxf>
    <dxf>
      <fill>
        <patternFill>
          <bgColor rgb="FF17A2B8"/>
        </patternFill>
      </fill>
    </dxf>
    <dxf>
      <fill>
        <patternFill>
          <bgColor rgb="FFFFC10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A2B8"/>
      <rgbColor rgb="FFB4B4B4"/>
      <rgbColor rgb="FF808080"/>
      <rgbColor rgb="FF9999FF"/>
      <rgbColor rgb="FFDC3545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D7E14"/>
      <rgbColor rgb="FF6F42C1"/>
      <rgbColor rgb="FF969696"/>
      <rgbColor rgb="FF003366"/>
      <rgbColor rgb="FF28A745"/>
      <rgbColor rgb="FF003300"/>
      <rgbColor rgb="FF333300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AE81"/>
  <sheetViews>
    <sheetView zoomScaleNormal="100" workbookViewId="0">
      <pane ySplit="4" topLeftCell="A5" activePane="bottomLeft" state="frozen"/>
      <selection pane="bottomLeft" activeCell="AB16" sqref="AB16:AD32"/>
    </sheetView>
  </sheetViews>
  <sheetFormatPr baseColWidth="10" defaultColWidth="8.6640625" defaultRowHeight="15" x14ac:dyDescent="0.2"/>
  <cols>
    <col min="1" max="1" width="13.1640625" bestFit="1" customWidth="1"/>
    <col min="2" max="2" width="11.5" bestFit="1" customWidth="1"/>
    <col min="3" max="3" width="9" bestFit="1" customWidth="1"/>
    <col min="4" max="4" width="15.6640625" bestFit="1" customWidth="1"/>
    <col min="5" max="5" width="13.6640625" bestFit="1" customWidth="1"/>
    <col min="6" max="6" width="11.33203125" bestFit="1" customWidth="1"/>
    <col min="7" max="7" width="20" bestFit="1" customWidth="1"/>
    <col min="8" max="8" width="13.1640625" bestFit="1" customWidth="1"/>
    <col min="9" max="9" width="14.5" bestFit="1" customWidth="1"/>
    <col min="10" max="10" width="10.1640625" bestFit="1" customWidth="1"/>
    <col min="11" max="11" width="16.33203125" bestFit="1" customWidth="1"/>
    <col min="12" max="12" width="38.6640625" bestFit="1" customWidth="1"/>
    <col min="13" max="13" width="43.1640625" bestFit="1" customWidth="1"/>
    <col min="14" max="14" width="32.33203125" bestFit="1" customWidth="1"/>
    <col min="15" max="15" width="36" bestFit="1" customWidth="1"/>
    <col min="16" max="16" width="31.83203125" bestFit="1" customWidth="1"/>
    <col min="17" max="17" width="28.6640625" bestFit="1" customWidth="1"/>
    <col min="18" max="24" width="14.6640625" bestFit="1" customWidth="1"/>
    <col min="25" max="25" width="12.33203125" bestFit="1" customWidth="1"/>
    <col min="26" max="26" width="26.1640625" bestFit="1" customWidth="1"/>
    <col min="27" max="27" width="15" customWidth="1"/>
    <col min="28" max="28" width="18" bestFit="1" customWidth="1"/>
    <col min="29" max="29" width="18.5" bestFit="1" customWidth="1"/>
    <col min="30" max="30" width="11.33203125" bestFit="1" customWidth="1"/>
    <col min="31" max="31" width="19.33203125" bestFit="1" customWidth="1"/>
  </cols>
  <sheetData>
    <row r="1" spans="1:31" ht="18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 spans="1:31" x14ac:dyDescent="0.2">
      <c r="A2" s="23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 x14ac:dyDescent="0.2">
      <c r="R3" s="20" t="s">
        <v>2</v>
      </c>
      <c r="S3" s="21"/>
      <c r="T3" s="21"/>
      <c r="U3" s="21"/>
      <c r="V3" s="21"/>
      <c r="W3" s="21"/>
      <c r="X3" s="22"/>
    </row>
    <row r="4" spans="1:3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</row>
    <row r="5" spans="1:31" x14ac:dyDescent="0.2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>
        <v>3</v>
      </c>
      <c r="I5" s="2">
        <v>5</v>
      </c>
      <c r="J5" s="2" t="s">
        <v>41</v>
      </c>
      <c r="K5" s="2" t="s">
        <v>42</v>
      </c>
      <c r="L5" s="2"/>
      <c r="M5" s="2" t="s">
        <v>43</v>
      </c>
      <c r="N5" s="2" t="s">
        <v>44</v>
      </c>
      <c r="O5" s="2" t="s">
        <v>45</v>
      </c>
      <c r="P5" s="2" t="s">
        <v>46</v>
      </c>
      <c r="Q5" s="2" t="s">
        <v>47</v>
      </c>
      <c r="R5" s="2"/>
      <c r="S5" s="2"/>
      <c r="T5" s="2"/>
      <c r="U5" s="2"/>
      <c r="V5" s="2"/>
      <c r="W5" s="2"/>
      <c r="X5" s="2"/>
      <c r="Y5" s="2" t="s">
        <v>48</v>
      </c>
      <c r="Z5" s="2" t="s">
        <v>49</v>
      </c>
      <c r="AA5" s="2"/>
      <c r="AB5" s="3"/>
      <c r="AC5" s="3"/>
      <c r="AD5" s="2"/>
      <c r="AE5" s="2"/>
    </row>
    <row r="6" spans="1:31" x14ac:dyDescent="0.2">
      <c r="A6" s="4" t="s">
        <v>34</v>
      </c>
      <c r="B6" s="4" t="s">
        <v>35</v>
      </c>
      <c r="C6" s="4" t="s">
        <v>36</v>
      </c>
      <c r="D6" s="4" t="s">
        <v>37</v>
      </c>
      <c r="E6" s="4" t="s">
        <v>50</v>
      </c>
      <c r="F6" s="4" t="s">
        <v>51</v>
      </c>
      <c r="G6" s="4" t="s">
        <v>40</v>
      </c>
      <c r="H6" s="4">
        <v>2</v>
      </c>
      <c r="I6" s="4">
        <v>7</v>
      </c>
      <c r="J6" s="4" t="s">
        <v>41</v>
      </c>
      <c r="K6" s="4" t="s">
        <v>52</v>
      </c>
      <c r="L6" s="4" t="s">
        <v>53</v>
      </c>
      <c r="M6" s="4"/>
      <c r="N6" s="4" t="s">
        <v>54</v>
      </c>
      <c r="O6" s="4" t="s">
        <v>55</v>
      </c>
      <c r="P6" s="4" t="s">
        <v>56</v>
      </c>
      <c r="Q6" s="4"/>
      <c r="R6" s="4"/>
      <c r="S6" s="4"/>
      <c r="T6" s="4"/>
      <c r="U6" s="4"/>
      <c r="V6" s="4"/>
      <c r="W6" s="4"/>
      <c r="X6" s="4"/>
      <c r="Y6" s="4" t="s">
        <v>48</v>
      </c>
      <c r="Z6" s="4" t="s">
        <v>57</v>
      </c>
      <c r="AA6" s="4"/>
      <c r="AB6" s="5"/>
      <c r="AC6" s="5"/>
      <c r="AD6" s="4"/>
      <c r="AE6" s="4"/>
    </row>
    <row r="7" spans="1:31" x14ac:dyDescent="0.2">
      <c r="A7" s="2" t="s">
        <v>34</v>
      </c>
      <c r="B7" s="2" t="s">
        <v>35</v>
      </c>
      <c r="C7" s="2" t="s">
        <v>36</v>
      </c>
      <c r="D7" s="2" t="s">
        <v>38</v>
      </c>
      <c r="E7" s="2" t="s">
        <v>58</v>
      </c>
      <c r="F7" s="2" t="s">
        <v>59</v>
      </c>
      <c r="G7" s="2" t="s">
        <v>40</v>
      </c>
      <c r="H7" s="2">
        <v>3</v>
      </c>
      <c r="I7" s="2">
        <v>8</v>
      </c>
      <c r="J7" s="2" t="s">
        <v>41</v>
      </c>
      <c r="K7" s="2" t="s">
        <v>60</v>
      </c>
      <c r="L7" s="2"/>
      <c r="M7" s="2" t="s">
        <v>61</v>
      </c>
      <c r="N7" s="2" t="s">
        <v>62</v>
      </c>
      <c r="O7" s="2" t="s">
        <v>63</v>
      </c>
      <c r="P7" s="2" t="s">
        <v>64</v>
      </c>
      <c r="Q7" s="2"/>
      <c r="R7" s="2"/>
      <c r="S7" s="2"/>
      <c r="T7" s="2"/>
      <c r="U7" s="2"/>
      <c r="V7" s="2"/>
      <c r="W7" s="2"/>
      <c r="X7" s="2"/>
      <c r="Y7" s="2" t="s">
        <v>48</v>
      </c>
      <c r="Z7" s="2" t="s">
        <v>57</v>
      </c>
      <c r="AA7" s="2"/>
      <c r="AB7" s="3"/>
      <c r="AC7" s="3"/>
      <c r="AD7" s="2"/>
      <c r="AE7" s="2"/>
    </row>
    <row r="8" spans="1:31" x14ac:dyDescent="0.2">
      <c r="A8" s="4" t="s">
        <v>34</v>
      </c>
      <c r="B8" s="4" t="s">
        <v>35</v>
      </c>
      <c r="C8" s="4" t="s">
        <v>36</v>
      </c>
      <c r="D8" s="4" t="s">
        <v>50</v>
      </c>
      <c r="E8" s="4" t="s">
        <v>65</v>
      </c>
      <c r="F8" s="4" t="s">
        <v>66</v>
      </c>
      <c r="G8" s="4" t="s">
        <v>40</v>
      </c>
      <c r="H8" s="4">
        <v>3</v>
      </c>
      <c r="I8" s="4">
        <v>5</v>
      </c>
      <c r="J8" s="4" t="s">
        <v>41</v>
      </c>
      <c r="K8" s="4" t="s">
        <v>42</v>
      </c>
      <c r="L8" s="4" t="s">
        <v>67</v>
      </c>
      <c r="M8" s="4"/>
      <c r="N8" s="4" t="s">
        <v>44</v>
      </c>
      <c r="O8" s="4" t="s">
        <v>68</v>
      </c>
      <c r="P8" s="4" t="s">
        <v>69</v>
      </c>
      <c r="Q8" s="4" t="s">
        <v>70</v>
      </c>
      <c r="R8" s="4"/>
      <c r="S8" s="4"/>
      <c r="T8" s="4"/>
      <c r="U8" s="4"/>
      <c r="V8" s="4"/>
      <c r="W8" s="4"/>
      <c r="X8" s="4"/>
      <c r="Y8" s="4" t="s">
        <v>48</v>
      </c>
      <c r="Z8" s="4" t="s">
        <v>57</v>
      </c>
      <c r="AA8" s="4"/>
      <c r="AB8" s="5"/>
      <c r="AC8" s="5"/>
      <c r="AD8" s="4"/>
      <c r="AE8" s="4"/>
    </row>
    <row r="9" spans="1:31" x14ac:dyDescent="0.2">
      <c r="A9" s="2" t="s">
        <v>34</v>
      </c>
      <c r="B9" s="2" t="s">
        <v>71</v>
      </c>
      <c r="C9" s="2" t="s">
        <v>72</v>
      </c>
      <c r="D9" s="2" t="s">
        <v>37</v>
      </c>
      <c r="E9" s="2" t="s">
        <v>65</v>
      </c>
      <c r="F9" s="2" t="s">
        <v>73</v>
      </c>
      <c r="G9" s="2" t="s">
        <v>74</v>
      </c>
      <c r="H9" s="2">
        <v>3</v>
      </c>
      <c r="I9" s="2">
        <v>8</v>
      </c>
      <c r="J9" s="2" t="s">
        <v>41</v>
      </c>
      <c r="K9" s="2" t="s">
        <v>75</v>
      </c>
      <c r="L9" s="2"/>
      <c r="M9" s="2" t="s">
        <v>76</v>
      </c>
      <c r="N9" s="2" t="s">
        <v>77</v>
      </c>
      <c r="O9" s="2"/>
      <c r="P9" s="2" t="s">
        <v>78</v>
      </c>
      <c r="Q9" s="2" t="s">
        <v>79</v>
      </c>
      <c r="R9" s="2"/>
      <c r="S9" s="2"/>
      <c r="T9" s="2"/>
      <c r="U9" s="2"/>
      <c r="V9" s="2"/>
      <c r="W9" s="2"/>
      <c r="X9" s="2"/>
      <c r="Y9" s="2" t="s">
        <v>48</v>
      </c>
      <c r="Z9" s="2" t="s">
        <v>57</v>
      </c>
      <c r="AA9" s="2"/>
      <c r="AB9" s="3"/>
      <c r="AC9" s="3"/>
      <c r="AD9" s="2"/>
      <c r="AE9" s="2"/>
    </row>
    <row r="10" spans="1:31" x14ac:dyDescent="0.2">
      <c r="A10" s="4" t="s">
        <v>34</v>
      </c>
      <c r="B10" s="4" t="s">
        <v>71</v>
      </c>
      <c r="C10" s="4" t="s">
        <v>72</v>
      </c>
      <c r="D10" s="4" t="s">
        <v>37</v>
      </c>
      <c r="E10" s="4" t="s">
        <v>80</v>
      </c>
      <c r="F10" s="4" t="s">
        <v>81</v>
      </c>
      <c r="G10" s="4" t="s">
        <v>74</v>
      </c>
      <c r="H10" s="4">
        <v>2</v>
      </c>
      <c r="I10" s="4">
        <v>4</v>
      </c>
      <c r="J10" s="4" t="s">
        <v>41</v>
      </c>
      <c r="K10" s="4" t="s">
        <v>75</v>
      </c>
      <c r="L10" s="4"/>
      <c r="M10" s="4" t="s">
        <v>82</v>
      </c>
      <c r="N10" s="4" t="s">
        <v>77</v>
      </c>
      <c r="O10" s="4"/>
      <c r="P10" s="4" t="s">
        <v>78</v>
      </c>
      <c r="Q10" s="4" t="s">
        <v>79</v>
      </c>
      <c r="R10" s="4"/>
      <c r="S10" s="4"/>
      <c r="T10" s="4"/>
      <c r="U10" s="4"/>
      <c r="V10" s="4"/>
      <c r="W10" s="4"/>
      <c r="X10" s="4"/>
      <c r="Y10" s="4" t="s">
        <v>48</v>
      </c>
      <c r="Z10" s="4" t="s">
        <v>57</v>
      </c>
      <c r="AA10" s="4"/>
      <c r="AB10" s="5"/>
      <c r="AC10" s="5"/>
      <c r="AD10" s="4"/>
      <c r="AE10" s="4"/>
    </row>
    <row r="11" spans="1:31" x14ac:dyDescent="0.2">
      <c r="A11" s="2" t="s">
        <v>34</v>
      </c>
      <c r="B11" s="2" t="s">
        <v>83</v>
      </c>
      <c r="C11" s="2" t="s">
        <v>84</v>
      </c>
      <c r="D11" s="2" t="s">
        <v>37</v>
      </c>
      <c r="E11" s="2" t="s">
        <v>65</v>
      </c>
      <c r="F11" s="2" t="s">
        <v>85</v>
      </c>
      <c r="G11" s="2" t="s">
        <v>40</v>
      </c>
      <c r="H11" s="2">
        <v>3</v>
      </c>
      <c r="I11" s="2">
        <v>10</v>
      </c>
      <c r="J11" s="2" t="s">
        <v>41</v>
      </c>
      <c r="K11" s="2" t="s">
        <v>52</v>
      </c>
      <c r="L11" s="2"/>
      <c r="M11" s="2" t="s">
        <v>86</v>
      </c>
      <c r="N11" s="2" t="s">
        <v>54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48</v>
      </c>
      <c r="Z11" s="2" t="s">
        <v>57</v>
      </c>
      <c r="AA11" s="2"/>
      <c r="AB11" s="3"/>
      <c r="AC11" s="3"/>
      <c r="AD11" s="2"/>
      <c r="AE11" s="2"/>
    </row>
    <row r="12" spans="1:31" x14ac:dyDescent="0.2">
      <c r="A12" s="4" t="s">
        <v>34</v>
      </c>
      <c r="B12" s="4" t="s">
        <v>83</v>
      </c>
      <c r="C12" s="4" t="s">
        <v>84</v>
      </c>
      <c r="D12" s="4" t="s">
        <v>37</v>
      </c>
      <c r="E12" s="4" t="s">
        <v>65</v>
      </c>
      <c r="F12" s="4" t="s">
        <v>87</v>
      </c>
      <c r="G12" s="4" t="s">
        <v>40</v>
      </c>
      <c r="H12" s="4">
        <v>2</v>
      </c>
      <c r="I12" s="4">
        <v>6</v>
      </c>
      <c r="J12" s="4" t="s">
        <v>41</v>
      </c>
      <c r="K12" s="4" t="s">
        <v>60</v>
      </c>
      <c r="L12" s="4"/>
      <c r="M12" s="4" t="s">
        <v>88</v>
      </c>
      <c r="N12" s="4" t="s">
        <v>89</v>
      </c>
      <c r="O12" s="4" t="s">
        <v>90</v>
      </c>
      <c r="P12" s="4"/>
      <c r="Q12" s="4"/>
      <c r="R12" s="4"/>
      <c r="S12" s="4"/>
      <c r="T12" s="4"/>
      <c r="U12" s="4"/>
      <c r="V12" s="4"/>
      <c r="W12" s="4"/>
      <c r="X12" s="4"/>
      <c r="Y12" s="4" t="s">
        <v>48</v>
      </c>
      <c r="Z12" s="4" t="s">
        <v>57</v>
      </c>
      <c r="AA12" s="4"/>
      <c r="AB12" s="5"/>
      <c r="AC12" s="5"/>
      <c r="AD12" s="4"/>
      <c r="AE12" s="4"/>
    </row>
    <row r="13" spans="1:31" x14ac:dyDescent="0.2">
      <c r="A13" s="2" t="s">
        <v>34</v>
      </c>
      <c r="B13" s="2" t="s">
        <v>91</v>
      </c>
      <c r="C13" s="2" t="s">
        <v>92</v>
      </c>
      <c r="D13" s="2" t="s">
        <v>37</v>
      </c>
      <c r="E13" s="2" t="s">
        <v>65</v>
      </c>
      <c r="F13" s="2" t="s">
        <v>93</v>
      </c>
      <c r="G13" s="2" t="s">
        <v>40</v>
      </c>
      <c r="H13" s="2">
        <v>2</v>
      </c>
      <c r="I13" s="2">
        <v>8</v>
      </c>
      <c r="J13" s="2" t="s">
        <v>41</v>
      </c>
      <c r="K13" s="2" t="s">
        <v>60</v>
      </c>
      <c r="L13" s="2"/>
      <c r="M13" s="2" t="s">
        <v>94</v>
      </c>
      <c r="N13" s="2" t="s">
        <v>89</v>
      </c>
      <c r="O13" s="2" t="s">
        <v>95</v>
      </c>
      <c r="P13" s="2" t="s">
        <v>96</v>
      </c>
      <c r="Q13" s="2" t="s">
        <v>97</v>
      </c>
      <c r="R13" s="2"/>
      <c r="S13" s="2"/>
      <c r="T13" s="2"/>
      <c r="U13" s="2"/>
      <c r="V13" s="2"/>
      <c r="W13" s="2"/>
      <c r="X13" s="2"/>
      <c r="Y13" s="2" t="s">
        <v>48</v>
      </c>
      <c r="Z13" s="2" t="s">
        <v>57</v>
      </c>
      <c r="AA13" s="2"/>
      <c r="AB13" s="3"/>
      <c r="AC13" s="3"/>
      <c r="AD13" s="2"/>
      <c r="AE13" s="2"/>
    </row>
    <row r="14" spans="1:31" x14ac:dyDescent="0.2">
      <c r="A14" s="4" t="s">
        <v>34</v>
      </c>
      <c r="B14" s="4" t="s">
        <v>91</v>
      </c>
      <c r="C14" s="4" t="s">
        <v>92</v>
      </c>
      <c r="D14" s="4" t="s">
        <v>37</v>
      </c>
      <c r="E14" s="4" t="s">
        <v>65</v>
      </c>
      <c r="F14" s="4" t="s">
        <v>98</v>
      </c>
      <c r="G14" s="4" t="s">
        <v>40</v>
      </c>
      <c r="H14" s="4">
        <v>2</v>
      </c>
      <c r="I14" s="4">
        <v>5</v>
      </c>
      <c r="J14" s="4" t="s">
        <v>41</v>
      </c>
      <c r="K14" s="4" t="s">
        <v>99</v>
      </c>
      <c r="L14" s="4"/>
      <c r="M14" s="4" t="s">
        <v>100</v>
      </c>
      <c r="N14" s="4" t="s">
        <v>101</v>
      </c>
      <c r="O14" s="4" t="s">
        <v>102</v>
      </c>
      <c r="P14" s="4"/>
      <c r="Q14" s="4"/>
      <c r="R14" s="4"/>
      <c r="S14" s="4"/>
      <c r="T14" s="4"/>
      <c r="U14" s="4"/>
      <c r="V14" s="4"/>
      <c r="W14" s="4"/>
      <c r="X14" s="4"/>
      <c r="Y14" s="4" t="s">
        <v>48</v>
      </c>
      <c r="Z14" s="4" t="s">
        <v>57</v>
      </c>
      <c r="AA14" s="4"/>
      <c r="AB14" s="5"/>
      <c r="AC14" s="5"/>
      <c r="AD14" s="4"/>
      <c r="AE14" s="4"/>
    </row>
    <row r="15" spans="1:31" x14ac:dyDescent="0.2">
      <c r="A15" s="2" t="s">
        <v>34</v>
      </c>
      <c r="B15" s="2" t="s">
        <v>103</v>
      </c>
      <c r="C15" s="2" t="s">
        <v>104</v>
      </c>
      <c r="D15" s="2" t="s">
        <v>37</v>
      </c>
      <c r="E15" s="2" t="s">
        <v>80</v>
      </c>
      <c r="F15" s="2" t="s">
        <v>105</v>
      </c>
      <c r="G15" s="2" t="s">
        <v>74</v>
      </c>
      <c r="H15" s="2">
        <v>2</v>
      </c>
      <c r="I15" s="2">
        <v>4</v>
      </c>
      <c r="J15" s="2" t="s">
        <v>41</v>
      </c>
      <c r="K15" s="2" t="s">
        <v>75</v>
      </c>
      <c r="L15" s="2"/>
      <c r="M15" s="2" t="s">
        <v>106</v>
      </c>
      <c r="N15" s="2" t="s">
        <v>77</v>
      </c>
      <c r="O15" s="2"/>
      <c r="P15" s="2" t="s">
        <v>78</v>
      </c>
      <c r="Q15" s="2" t="s">
        <v>79</v>
      </c>
      <c r="R15" s="2"/>
      <c r="S15" s="2"/>
      <c r="T15" s="2"/>
      <c r="U15" s="2"/>
      <c r="V15" s="2"/>
      <c r="W15" s="2"/>
      <c r="X15" s="2"/>
      <c r="Y15" s="2" t="s">
        <v>48</v>
      </c>
      <c r="Z15" s="2" t="s">
        <v>57</v>
      </c>
      <c r="AA15" s="2"/>
      <c r="AB15" s="3"/>
      <c r="AC15" s="3"/>
      <c r="AD15" s="2"/>
      <c r="AE15" s="2"/>
    </row>
    <row r="16" spans="1:31" x14ac:dyDescent="0.2">
      <c r="A16" s="4" t="s">
        <v>34</v>
      </c>
      <c r="B16" s="4" t="s">
        <v>103</v>
      </c>
      <c r="C16" s="4" t="s">
        <v>104</v>
      </c>
      <c r="D16" s="4" t="s">
        <v>37</v>
      </c>
      <c r="E16" s="4" t="s">
        <v>65</v>
      </c>
      <c r="F16" s="4" t="s">
        <v>107</v>
      </c>
      <c r="G16" s="4" t="s">
        <v>74</v>
      </c>
      <c r="H16" s="4">
        <v>3</v>
      </c>
      <c r="I16" s="4">
        <v>6</v>
      </c>
      <c r="J16" s="4" t="s">
        <v>41</v>
      </c>
      <c r="K16" s="4" t="s">
        <v>75</v>
      </c>
      <c r="L16" s="4"/>
      <c r="M16" s="4" t="s">
        <v>108</v>
      </c>
      <c r="N16" s="4" t="s">
        <v>77</v>
      </c>
      <c r="O16" s="4"/>
      <c r="P16" s="4" t="s">
        <v>78</v>
      </c>
      <c r="Q16" s="4" t="s">
        <v>79</v>
      </c>
      <c r="R16" s="4"/>
      <c r="S16" s="4"/>
      <c r="T16" s="4"/>
      <c r="U16" s="4"/>
      <c r="V16" s="4"/>
      <c r="W16" s="4"/>
      <c r="X16" s="4"/>
      <c r="Y16" s="4" t="s">
        <v>48</v>
      </c>
      <c r="Z16" s="4" t="s">
        <v>57</v>
      </c>
      <c r="AA16" s="4"/>
      <c r="AB16" s="5"/>
      <c r="AC16" s="5"/>
      <c r="AD16" s="4"/>
      <c r="AE16" s="4"/>
    </row>
    <row r="17" spans="1:31" x14ac:dyDescent="0.2">
      <c r="A17" s="2" t="s">
        <v>109</v>
      </c>
      <c r="B17" s="2" t="s">
        <v>110</v>
      </c>
      <c r="C17" s="2" t="s">
        <v>36</v>
      </c>
      <c r="D17" s="2" t="s">
        <v>37</v>
      </c>
      <c r="E17" s="2" t="s">
        <v>65</v>
      </c>
      <c r="F17" s="2" t="s">
        <v>111</v>
      </c>
      <c r="G17" s="2" t="s">
        <v>40</v>
      </c>
      <c r="H17" s="2">
        <v>2</v>
      </c>
      <c r="I17" s="2">
        <v>4</v>
      </c>
      <c r="J17" s="2" t="s">
        <v>41</v>
      </c>
      <c r="K17" s="2" t="s">
        <v>112</v>
      </c>
      <c r="L17" s="2"/>
      <c r="M17" s="2" t="s">
        <v>113</v>
      </c>
      <c r="N17" s="2" t="s">
        <v>114</v>
      </c>
      <c r="O17" s="2" t="s">
        <v>115</v>
      </c>
      <c r="P17" s="2" t="s">
        <v>116</v>
      </c>
      <c r="Q17" s="2"/>
      <c r="R17" s="2"/>
      <c r="S17" s="2"/>
      <c r="T17" s="2"/>
      <c r="U17" s="2"/>
      <c r="V17" s="2"/>
      <c r="W17" s="2"/>
      <c r="X17" s="2"/>
      <c r="Y17" s="2" t="s">
        <v>48</v>
      </c>
      <c r="Z17" s="2" t="s">
        <v>57</v>
      </c>
      <c r="AA17" s="2"/>
      <c r="AB17" s="3"/>
      <c r="AC17" s="3"/>
      <c r="AD17" s="2"/>
      <c r="AE17" s="2"/>
    </row>
    <row r="18" spans="1:31" x14ac:dyDescent="0.2">
      <c r="A18" s="4" t="s">
        <v>109</v>
      </c>
      <c r="B18" s="4" t="s">
        <v>110</v>
      </c>
      <c r="C18" s="4" t="s">
        <v>36</v>
      </c>
      <c r="D18" s="4" t="s">
        <v>37</v>
      </c>
      <c r="E18" s="4" t="s">
        <v>80</v>
      </c>
      <c r="F18" s="4" t="s">
        <v>117</v>
      </c>
      <c r="G18" s="4" t="s">
        <v>40</v>
      </c>
      <c r="H18" s="4">
        <v>2</v>
      </c>
      <c r="I18" s="4">
        <v>43</v>
      </c>
      <c r="J18" s="4" t="s">
        <v>41</v>
      </c>
      <c r="K18" s="4" t="s">
        <v>60</v>
      </c>
      <c r="L18" s="4"/>
      <c r="M18" s="4" t="s">
        <v>118</v>
      </c>
      <c r="N18" s="4" t="s">
        <v>89</v>
      </c>
      <c r="O18" s="4"/>
      <c r="P18" s="4" t="s">
        <v>119</v>
      </c>
      <c r="Q18" s="4" t="s">
        <v>120</v>
      </c>
      <c r="R18" s="4"/>
      <c r="S18" s="4"/>
      <c r="T18" s="4"/>
      <c r="U18" s="4"/>
      <c r="V18" s="4"/>
      <c r="W18" s="4"/>
      <c r="X18" s="4"/>
      <c r="Y18" s="4" t="s">
        <v>48</v>
      </c>
      <c r="Z18" s="4" t="s">
        <v>57</v>
      </c>
      <c r="AA18" s="4"/>
      <c r="AB18" s="5"/>
      <c r="AC18" s="5"/>
      <c r="AD18" s="4"/>
      <c r="AE18" s="4"/>
    </row>
    <row r="19" spans="1:31" x14ac:dyDescent="0.2">
      <c r="A19" s="2" t="s">
        <v>109</v>
      </c>
      <c r="B19" s="2" t="s">
        <v>110</v>
      </c>
      <c r="C19" s="2" t="s">
        <v>36</v>
      </c>
      <c r="D19" s="2" t="s">
        <v>37</v>
      </c>
      <c r="E19" s="2" t="s">
        <v>38</v>
      </c>
      <c r="F19" s="2" t="s">
        <v>121</v>
      </c>
      <c r="G19" s="2" t="s">
        <v>40</v>
      </c>
      <c r="H19" s="2">
        <v>2</v>
      </c>
      <c r="I19" s="2">
        <v>6</v>
      </c>
      <c r="J19" s="2" t="s">
        <v>41</v>
      </c>
      <c r="K19" s="2" t="s">
        <v>99</v>
      </c>
      <c r="L19" s="2"/>
      <c r="M19" s="2" t="s">
        <v>122</v>
      </c>
      <c r="N19" s="2" t="s">
        <v>123</v>
      </c>
      <c r="O19" s="2" t="s">
        <v>124</v>
      </c>
      <c r="P19" s="2" t="s">
        <v>125</v>
      </c>
      <c r="Q19" s="2" t="s">
        <v>126</v>
      </c>
      <c r="R19" s="2"/>
      <c r="S19" s="2"/>
      <c r="T19" s="2"/>
      <c r="U19" s="2"/>
      <c r="V19" s="2"/>
      <c r="W19" s="2"/>
      <c r="X19" s="2"/>
      <c r="Y19" s="2" t="s">
        <v>48</v>
      </c>
      <c r="Z19" s="2" t="s">
        <v>127</v>
      </c>
      <c r="AA19" s="2"/>
      <c r="AB19" s="3"/>
      <c r="AC19" s="3"/>
      <c r="AD19" s="2"/>
      <c r="AE19" s="2"/>
    </row>
    <row r="20" spans="1:31" x14ac:dyDescent="0.2">
      <c r="A20" s="4" t="s">
        <v>109</v>
      </c>
      <c r="B20" s="4" t="s">
        <v>128</v>
      </c>
      <c r="C20" s="4" t="s">
        <v>72</v>
      </c>
      <c r="D20" s="4" t="s">
        <v>37</v>
      </c>
      <c r="E20" s="4" t="s">
        <v>65</v>
      </c>
      <c r="F20" s="4" t="s">
        <v>129</v>
      </c>
      <c r="G20" s="4" t="s">
        <v>40</v>
      </c>
      <c r="H20" s="4">
        <v>2</v>
      </c>
      <c r="I20" s="4">
        <v>4</v>
      </c>
      <c r="J20" s="4" t="s">
        <v>41</v>
      </c>
      <c r="K20" s="4" t="s">
        <v>60</v>
      </c>
      <c r="L20" s="4"/>
      <c r="M20" s="4" t="s">
        <v>130</v>
      </c>
      <c r="N20" s="4" t="s">
        <v>62</v>
      </c>
      <c r="O20" s="4" t="s">
        <v>131</v>
      </c>
      <c r="P20" s="4" t="s">
        <v>132</v>
      </c>
      <c r="Q20" s="4" t="s">
        <v>133</v>
      </c>
      <c r="R20" s="4"/>
      <c r="S20" s="4"/>
      <c r="T20" s="4"/>
      <c r="U20" s="4"/>
      <c r="V20" s="4"/>
      <c r="W20" s="4"/>
      <c r="X20" s="4"/>
      <c r="Y20" s="4" t="s">
        <v>48</v>
      </c>
      <c r="Z20" s="4" t="s">
        <v>57</v>
      </c>
      <c r="AA20" s="4"/>
      <c r="AB20" s="5"/>
      <c r="AC20" s="5"/>
      <c r="AD20" s="4"/>
      <c r="AE20" s="4"/>
    </row>
    <row r="21" spans="1:31" x14ac:dyDescent="0.2">
      <c r="A21" s="2" t="s">
        <v>109</v>
      </c>
      <c r="B21" s="2" t="s">
        <v>128</v>
      </c>
      <c r="C21" s="2" t="s">
        <v>72</v>
      </c>
      <c r="D21" s="2" t="s">
        <v>37</v>
      </c>
      <c r="E21" s="2" t="s">
        <v>65</v>
      </c>
      <c r="F21" s="2" t="s">
        <v>134</v>
      </c>
      <c r="G21" s="2" t="s">
        <v>40</v>
      </c>
      <c r="H21" s="2">
        <v>2</v>
      </c>
      <c r="I21" s="2">
        <v>6</v>
      </c>
      <c r="J21" s="2" t="s">
        <v>41</v>
      </c>
      <c r="K21" s="2" t="s">
        <v>52</v>
      </c>
      <c r="L21" s="2"/>
      <c r="M21" s="2" t="s">
        <v>135</v>
      </c>
      <c r="N21" s="2" t="s">
        <v>54</v>
      </c>
      <c r="O21" s="2" t="s">
        <v>136</v>
      </c>
      <c r="P21" s="2" t="s">
        <v>137</v>
      </c>
      <c r="Q21" s="2" t="s">
        <v>138</v>
      </c>
      <c r="R21" s="2"/>
      <c r="S21" s="2"/>
      <c r="T21" s="2"/>
      <c r="U21" s="2"/>
      <c r="V21" s="2"/>
      <c r="W21" s="2"/>
      <c r="X21" s="2"/>
      <c r="Y21" s="2" t="s">
        <v>48</v>
      </c>
      <c r="Z21" s="2" t="s">
        <v>57</v>
      </c>
      <c r="AA21" s="2"/>
      <c r="AB21" s="3"/>
      <c r="AC21" s="3"/>
      <c r="AD21" s="2"/>
      <c r="AE21" s="2"/>
    </row>
    <row r="22" spans="1:31" x14ac:dyDescent="0.2">
      <c r="A22" s="4" t="s">
        <v>109</v>
      </c>
      <c r="B22" s="4" t="s">
        <v>128</v>
      </c>
      <c r="C22" s="4" t="s">
        <v>72</v>
      </c>
      <c r="D22" s="4" t="s">
        <v>37</v>
      </c>
      <c r="E22" s="4" t="s">
        <v>65</v>
      </c>
      <c r="F22" s="4" t="s">
        <v>139</v>
      </c>
      <c r="G22" s="4" t="s">
        <v>140</v>
      </c>
      <c r="H22" s="4">
        <v>1</v>
      </c>
      <c r="I22" s="4">
        <v>4</v>
      </c>
      <c r="J22" s="4" t="s">
        <v>41</v>
      </c>
      <c r="K22" s="4" t="s">
        <v>52</v>
      </c>
      <c r="L22" s="4"/>
      <c r="M22" s="4" t="s">
        <v>141</v>
      </c>
      <c r="N22" s="4" t="s">
        <v>142</v>
      </c>
      <c r="O22" s="4" t="s">
        <v>136</v>
      </c>
      <c r="P22" s="4"/>
      <c r="Q22" s="4"/>
      <c r="R22" s="4"/>
      <c r="S22" s="4"/>
      <c r="T22" s="4"/>
      <c r="U22" s="4"/>
      <c r="V22" s="4"/>
      <c r="W22" s="4"/>
      <c r="X22" s="4"/>
      <c r="Y22" s="4" t="s">
        <v>48</v>
      </c>
      <c r="Z22" s="4" t="s">
        <v>57</v>
      </c>
      <c r="AA22" s="4"/>
      <c r="AB22" s="5"/>
      <c r="AC22" s="5"/>
      <c r="AD22" s="4"/>
      <c r="AE22" s="4"/>
    </row>
    <row r="23" spans="1:31" x14ac:dyDescent="0.2">
      <c r="A23" s="2" t="s">
        <v>109</v>
      </c>
      <c r="B23" s="2" t="s">
        <v>143</v>
      </c>
      <c r="C23" s="2" t="s">
        <v>84</v>
      </c>
      <c r="D23" s="2" t="s">
        <v>37</v>
      </c>
      <c r="E23" s="2" t="s">
        <v>65</v>
      </c>
      <c r="F23" s="2" t="s">
        <v>144</v>
      </c>
      <c r="G23" s="2" t="s">
        <v>145</v>
      </c>
      <c r="H23" s="2">
        <v>2</v>
      </c>
      <c r="I23" s="2">
        <v>4</v>
      </c>
      <c r="J23" s="2" t="s">
        <v>41</v>
      </c>
      <c r="K23" s="2" t="s">
        <v>112</v>
      </c>
      <c r="L23" s="2"/>
      <c r="M23" s="2" t="s">
        <v>146</v>
      </c>
      <c r="N23" s="2" t="s">
        <v>114</v>
      </c>
      <c r="O23" s="2" t="s">
        <v>147</v>
      </c>
      <c r="P23" s="2" t="s">
        <v>148</v>
      </c>
      <c r="Q23" s="2" t="s">
        <v>149</v>
      </c>
      <c r="R23" s="2"/>
      <c r="S23" s="2"/>
      <c r="T23" s="2"/>
      <c r="U23" s="2"/>
      <c r="V23" s="2"/>
      <c r="W23" s="2"/>
      <c r="X23" s="2"/>
      <c r="Y23" s="2" t="s">
        <v>48</v>
      </c>
      <c r="Z23" s="2" t="s">
        <v>57</v>
      </c>
      <c r="AA23" s="2"/>
      <c r="AB23" s="3"/>
      <c r="AC23" s="3"/>
      <c r="AD23" s="2"/>
      <c r="AE23" s="2"/>
    </row>
    <row r="24" spans="1:31" x14ac:dyDescent="0.2">
      <c r="A24" s="4" t="s">
        <v>109</v>
      </c>
      <c r="B24" s="4" t="s">
        <v>143</v>
      </c>
      <c r="C24" s="4" t="s">
        <v>84</v>
      </c>
      <c r="D24" s="4" t="s">
        <v>37</v>
      </c>
      <c r="E24" s="4" t="s">
        <v>150</v>
      </c>
      <c r="F24" s="4" t="s">
        <v>151</v>
      </c>
      <c r="G24" s="4" t="s">
        <v>40</v>
      </c>
      <c r="H24" s="4">
        <v>2</v>
      </c>
      <c r="I24" s="4">
        <v>3</v>
      </c>
      <c r="J24" s="4" t="s">
        <v>41</v>
      </c>
      <c r="K24" s="4" t="s">
        <v>52</v>
      </c>
      <c r="L24" s="4"/>
      <c r="M24" s="4" t="s">
        <v>152</v>
      </c>
      <c r="N24" s="4" t="s">
        <v>54</v>
      </c>
      <c r="O24" s="4" t="s">
        <v>153</v>
      </c>
      <c r="P24" s="4" t="s">
        <v>154</v>
      </c>
      <c r="Q24" s="4" t="s">
        <v>155</v>
      </c>
      <c r="R24" s="4"/>
      <c r="S24" s="4"/>
      <c r="T24" s="4"/>
      <c r="U24" s="4"/>
      <c r="V24" s="4"/>
      <c r="W24" s="4"/>
      <c r="X24" s="4"/>
      <c r="Y24" s="4" t="s">
        <v>48</v>
      </c>
      <c r="Z24" s="4" t="s">
        <v>57</v>
      </c>
      <c r="AA24" s="4"/>
      <c r="AB24" s="5"/>
      <c r="AC24" s="5"/>
      <c r="AD24" s="4"/>
      <c r="AE24" s="4"/>
    </row>
    <row r="25" spans="1:31" ht="42" x14ac:dyDescent="0.2">
      <c r="A25" s="2" t="s">
        <v>109</v>
      </c>
      <c r="B25" s="2" t="s">
        <v>143</v>
      </c>
      <c r="C25" s="2" t="s">
        <v>84</v>
      </c>
      <c r="D25" s="2" t="s">
        <v>37</v>
      </c>
      <c r="E25" s="2" t="s">
        <v>65</v>
      </c>
      <c r="F25" s="2" t="s">
        <v>156</v>
      </c>
      <c r="G25" s="2" t="s">
        <v>40</v>
      </c>
      <c r="H25" s="2">
        <v>1</v>
      </c>
      <c r="I25" s="2">
        <v>8</v>
      </c>
      <c r="J25" s="2" t="s">
        <v>41</v>
      </c>
      <c r="K25" s="2" t="s">
        <v>52</v>
      </c>
      <c r="L25" s="2"/>
      <c r="M25" s="2" t="s">
        <v>157</v>
      </c>
      <c r="N25" s="2" t="s">
        <v>54</v>
      </c>
      <c r="O25" s="2"/>
      <c r="P25" s="2" t="s">
        <v>158</v>
      </c>
      <c r="Q25" s="2" t="s">
        <v>159</v>
      </c>
      <c r="R25" s="2"/>
      <c r="S25" s="2"/>
      <c r="T25" s="2"/>
      <c r="U25" s="2"/>
      <c r="V25" s="2"/>
      <c r="W25" s="2"/>
      <c r="X25" s="2"/>
      <c r="Y25" s="2" t="s">
        <v>48</v>
      </c>
      <c r="Z25" s="2" t="s">
        <v>160</v>
      </c>
      <c r="AA25" s="2"/>
      <c r="AB25" s="3"/>
      <c r="AC25" s="3"/>
      <c r="AD25" s="2"/>
      <c r="AE25" s="2"/>
    </row>
    <row r="26" spans="1:31" x14ac:dyDescent="0.2">
      <c r="A26" s="4" t="s">
        <v>109</v>
      </c>
      <c r="B26" s="4" t="s">
        <v>161</v>
      </c>
      <c r="C26" s="4" t="s">
        <v>92</v>
      </c>
      <c r="D26" s="4" t="s">
        <v>37</v>
      </c>
      <c r="E26" s="4" t="s">
        <v>80</v>
      </c>
      <c r="F26" s="4" t="s">
        <v>162</v>
      </c>
      <c r="G26" s="4" t="s">
        <v>40</v>
      </c>
      <c r="H26" s="4">
        <v>2</v>
      </c>
      <c r="I26" s="4">
        <v>3</v>
      </c>
      <c r="J26" s="4" t="s">
        <v>41</v>
      </c>
      <c r="K26" s="4" t="s">
        <v>99</v>
      </c>
      <c r="L26" s="4" t="s">
        <v>163</v>
      </c>
      <c r="M26" s="4"/>
      <c r="N26" s="4" t="s">
        <v>101</v>
      </c>
      <c r="O26" s="4" t="s">
        <v>164</v>
      </c>
      <c r="P26" s="4" t="s">
        <v>165</v>
      </c>
      <c r="Q26" s="4"/>
      <c r="R26" s="4"/>
      <c r="S26" s="4"/>
      <c r="T26" s="4"/>
      <c r="U26" s="4"/>
      <c r="V26" s="4"/>
      <c r="W26" s="4"/>
      <c r="X26" s="4"/>
      <c r="Y26" s="4" t="s">
        <v>48</v>
      </c>
      <c r="Z26" s="4" t="s">
        <v>57</v>
      </c>
      <c r="AA26" s="4"/>
      <c r="AB26" s="5"/>
      <c r="AC26" s="5"/>
      <c r="AD26" s="4"/>
      <c r="AE26" s="4"/>
    </row>
    <row r="27" spans="1:31" x14ac:dyDescent="0.2">
      <c r="A27" s="2" t="s">
        <v>109</v>
      </c>
      <c r="B27" s="2" t="s">
        <v>161</v>
      </c>
      <c r="C27" s="2" t="s">
        <v>92</v>
      </c>
      <c r="D27" s="2" t="s">
        <v>37</v>
      </c>
      <c r="E27" s="2" t="s">
        <v>150</v>
      </c>
      <c r="F27" s="2" t="s">
        <v>166</v>
      </c>
      <c r="G27" s="2" t="s">
        <v>140</v>
      </c>
      <c r="H27" s="2">
        <v>2</v>
      </c>
      <c r="I27" s="2">
        <v>4</v>
      </c>
      <c r="J27" s="2" t="s">
        <v>41</v>
      </c>
      <c r="K27" s="2" t="s">
        <v>167</v>
      </c>
      <c r="L27" s="2"/>
      <c r="M27" s="2" t="s">
        <v>168</v>
      </c>
      <c r="N27" s="2" t="s">
        <v>169</v>
      </c>
      <c r="O27" s="2" t="s">
        <v>170</v>
      </c>
      <c r="P27" s="2" t="s">
        <v>171</v>
      </c>
      <c r="Q27" s="2"/>
      <c r="R27" s="2"/>
      <c r="S27" s="2"/>
      <c r="T27" s="2"/>
      <c r="U27" s="2"/>
      <c r="V27" s="2"/>
      <c r="W27" s="2"/>
      <c r="X27" s="2"/>
      <c r="Y27" s="2" t="s">
        <v>48</v>
      </c>
      <c r="Z27" s="2" t="s">
        <v>57</v>
      </c>
      <c r="AA27" s="2"/>
      <c r="AB27" s="3"/>
      <c r="AC27" s="3"/>
      <c r="AD27" s="2"/>
      <c r="AE27" s="2"/>
    </row>
    <row r="28" spans="1:31" x14ac:dyDescent="0.2">
      <c r="A28" s="4" t="s">
        <v>109</v>
      </c>
      <c r="B28" s="4" t="s">
        <v>172</v>
      </c>
      <c r="C28" s="4" t="s">
        <v>104</v>
      </c>
      <c r="D28" s="4" t="s">
        <v>37</v>
      </c>
      <c r="E28" s="4" t="s">
        <v>38</v>
      </c>
      <c r="F28" s="4" t="s">
        <v>173</v>
      </c>
      <c r="G28" s="4" t="s">
        <v>40</v>
      </c>
      <c r="H28" s="4">
        <v>3</v>
      </c>
      <c r="I28" s="4">
        <v>7</v>
      </c>
      <c r="J28" s="4" t="s">
        <v>41</v>
      </c>
      <c r="K28" s="4" t="s">
        <v>112</v>
      </c>
      <c r="L28" s="4"/>
      <c r="M28" s="4" t="s">
        <v>174</v>
      </c>
      <c r="N28" s="4" t="s">
        <v>114</v>
      </c>
      <c r="O28" s="4" t="s">
        <v>175</v>
      </c>
      <c r="P28" s="4" t="s">
        <v>176</v>
      </c>
      <c r="Q28" s="4"/>
      <c r="R28" s="4"/>
      <c r="S28" s="4"/>
      <c r="T28" s="4"/>
      <c r="U28" s="4"/>
      <c r="V28" s="4"/>
      <c r="W28" s="4"/>
      <c r="X28" s="4"/>
      <c r="Y28" s="4" t="s">
        <v>48</v>
      </c>
      <c r="Z28" s="4" t="s">
        <v>57</v>
      </c>
      <c r="AA28" s="4"/>
      <c r="AB28" s="5"/>
      <c r="AC28" s="5"/>
      <c r="AD28" s="4"/>
      <c r="AE28" s="4"/>
    </row>
    <row r="29" spans="1:31" x14ac:dyDescent="0.2">
      <c r="A29" s="2" t="s">
        <v>109</v>
      </c>
      <c r="B29" s="2" t="s">
        <v>172</v>
      </c>
      <c r="C29" s="2" t="s">
        <v>104</v>
      </c>
      <c r="D29" s="2" t="s">
        <v>37</v>
      </c>
      <c r="E29" s="2" t="s">
        <v>65</v>
      </c>
      <c r="F29" s="2" t="s">
        <v>177</v>
      </c>
      <c r="G29" s="2" t="s">
        <v>40</v>
      </c>
      <c r="H29" s="2">
        <v>3</v>
      </c>
      <c r="I29" s="2">
        <v>8</v>
      </c>
      <c r="J29" s="2" t="s">
        <v>41</v>
      </c>
      <c r="K29" s="2" t="s">
        <v>52</v>
      </c>
      <c r="L29" s="2"/>
      <c r="M29" s="2" t="s">
        <v>178</v>
      </c>
      <c r="N29" s="2" t="s">
        <v>54</v>
      </c>
      <c r="O29" s="2"/>
      <c r="P29" s="2" t="s">
        <v>179</v>
      </c>
      <c r="Q29" s="2"/>
      <c r="R29" s="2"/>
      <c r="S29" s="2"/>
      <c r="T29" s="2"/>
      <c r="U29" s="2"/>
      <c r="V29" s="2"/>
      <c r="W29" s="2"/>
      <c r="X29" s="2"/>
      <c r="Y29" s="2" t="s">
        <v>48</v>
      </c>
      <c r="Z29" s="2" t="s">
        <v>57</v>
      </c>
      <c r="AA29" s="2"/>
      <c r="AB29" s="3"/>
      <c r="AC29" s="3"/>
      <c r="AD29" s="2"/>
      <c r="AE29" s="2"/>
    </row>
    <row r="30" spans="1:31" x14ac:dyDescent="0.2">
      <c r="A30" s="4" t="s">
        <v>109</v>
      </c>
      <c r="B30" s="4" t="s">
        <v>172</v>
      </c>
      <c r="C30" s="4" t="s">
        <v>104</v>
      </c>
      <c r="D30" s="4" t="s">
        <v>50</v>
      </c>
      <c r="E30" s="4" t="s">
        <v>65</v>
      </c>
      <c r="F30" s="4" t="s">
        <v>180</v>
      </c>
      <c r="G30" s="4" t="s">
        <v>140</v>
      </c>
      <c r="H30" s="4">
        <v>4</v>
      </c>
      <c r="I30" s="4">
        <v>7</v>
      </c>
      <c r="J30" s="4" t="s">
        <v>41</v>
      </c>
      <c r="K30" s="4" t="s">
        <v>112</v>
      </c>
      <c r="L30" s="4"/>
      <c r="M30" s="4" t="s">
        <v>181</v>
      </c>
      <c r="N30" s="4" t="s">
        <v>114</v>
      </c>
      <c r="O30" s="4" t="s">
        <v>182</v>
      </c>
      <c r="P30" s="4" t="s">
        <v>183</v>
      </c>
      <c r="Q30" s="4"/>
      <c r="R30" s="4"/>
      <c r="S30" s="4"/>
      <c r="T30" s="4"/>
      <c r="U30" s="4"/>
      <c r="V30" s="4"/>
      <c r="W30" s="4"/>
      <c r="X30" s="4"/>
      <c r="Y30" s="4" t="s">
        <v>48</v>
      </c>
      <c r="Z30" s="4"/>
      <c r="AA30" s="4"/>
      <c r="AB30" s="5"/>
      <c r="AC30" s="5"/>
      <c r="AD30" s="4"/>
      <c r="AE30" s="4"/>
    </row>
    <row r="31" spans="1:31" x14ac:dyDescent="0.2">
      <c r="A31" s="2" t="s">
        <v>184</v>
      </c>
      <c r="B31" s="2" t="s">
        <v>185</v>
      </c>
      <c r="C31" s="2" t="s">
        <v>36</v>
      </c>
      <c r="D31" s="2" t="s">
        <v>37</v>
      </c>
      <c r="E31" s="2" t="s">
        <v>80</v>
      </c>
      <c r="F31" s="2" t="s">
        <v>186</v>
      </c>
      <c r="G31" s="2" t="s">
        <v>40</v>
      </c>
      <c r="H31" s="2">
        <v>2</v>
      </c>
      <c r="I31" s="2">
        <v>4</v>
      </c>
      <c r="J31" s="2" t="s">
        <v>187</v>
      </c>
      <c r="K31" s="2" t="s">
        <v>99</v>
      </c>
      <c r="L31" s="2"/>
      <c r="M31" s="2" t="s">
        <v>188</v>
      </c>
      <c r="N31" s="2" t="s">
        <v>101</v>
      </c>
      <c r="O31" s="2" t="s">
        <v>189</v>
      </c>
      <c r="P31" s="2" t="s">
        <v>190</v>
      </c>
      <c r="Q31" s="2" t="s">
        <v>191</v>
      </c>
      <c r="R31" s="2"/>
      <c r="S31" s="2"/>
      <c r="T31" s="2"/>
      <c r="U31" s="2"/>
      <c r="V31" s="2"/>
      <c r="W31" s="2"/>
      <c r="X31" s="2"/>
      <c r="Y31" s="2" t="s">
        <v>48</v>
      </c>
      <c r="Z31" s="2" t="s">
        <v>57</v>
      </c>
      <c r="AA31" s="2"/>
      <c r="AB31" s="3"/>
      <c r="AC31" s="3"/>
      <c r="AD31" s="2"/>
      <c r="AE31" s="2"/>
    </row>
    <row r="32" spans="1:31" x14ac:dyDescent="0.2">
      <c r="A32" s="4" t="s">
        <v>184</v>
      </c>
      <c r="B32" s="4" t="s">
        <v>185</v>
      </c>
      <c r="C32" s="4" t="s">
        <v>36</v>
      </c>
      <c r="D32" s="4" t="s">
        <v>37</v>
      </c>
      <c r="E32" s="4" t="s">
        <v>192</v>
      </c>
      <c r="F32" s="4" t="s">
        <v>193</v>
      </c>
      <c r="G32" s="4" t="s">
        <v>40</v>
      </c>
      <c r="H32" s="4">
        <v>2</v>
      </c>
      <c r="I32" s="4">
        <v>3</v>
      </c>
      <c r="J32" s="4" t="s">
        <v>187</v>
      </c>
      <c r="K32" s="4" t="s">
        <v>99</v>
      </c>
      <c r="L32" s="4"/>
      <c r="M32" s="4" t="s">
        <v>194</v>
      </c>
      <c r="N32" s="4" t="s">
        <v>123</v>
      </c>
      <c r="O32" s="4" t="s">
        <v>195</v>
      </c>
      <c r="P32" s="4" t="s">
        <v>196</v>
      </c>
      <c r="Q32" s="4" t="s">
        <v>197</v>
      </c>
      <c r="R32" s="4"/>
      <c r="S32" s="4"/>
      <c r="T32" s="4"/>
      <c r="U32" s="4"/>
      <c r="V32" s="4"/>
      <c r="W32" s="4"/>
      <c r="X32" s="4"/>
      <c r="Y32" s="4" t="s">
        <v>48</v>
      </c>
      <c r="Z32" s="4" t="s">
        <v>57</v>
      </c>
      <c r="AA32" s="4"/>
      <c r="AB32" s="5"/>
      <c r="AC32" s="5"/>
      <c r="AD32" s="4"/>
      <c r="AE32" s="4"/>
    </row>
    <row r="33" spans="1:31" x14ac:dyDescent="0.2">
      <c r="A33" s="2" t="s">
        <v>184</v>
      </c>
      <c r="B33" s="2" t="s">
        <v>185</v>
      </c>
      <c r="C33" s="2" t="s">
        <v>36</v>
      </c>
      <c r="D33" s="2" t="s">
        <v>37</v>
      </c>
      <c r="E33" s="2" t="s">
        <v>80</v>
      </c>
      <c r="F33" s="2" t="s">
        <v>198</v>
      </c>
      <c r="G33" s="2" t="s">
        <v>40</v>
      </c>
      <c r="H33" s="2">
        <v>2</v>
      </c>
      <c r="I33" s="2">
        <v>4</v>
      </c>
      <c r="J33" s="2" t="s">
        <v>187</v>
      </c>
      <c r="K33" s="2" t="s">
        <v>99</v>
      </c>
      <c r="L33" s="2"/>
      <c r="M33" s="2" t="s">
        <v>199</v>
      </c>
      <c r="N33" s="2" t="s">
        <v>101</v>
      </c>
      <c r="O33" s="2" t="s">
        <v>189</v>
      </c>
      <c r="P33" s="2" t="s">
        <v>190</v>
      </c>
      <c r="Q33" s="2" t="s">
        <v>191</v>
      </c>
      <c r="R33" s="2"/>
      <c r="S33" s="2"/>
      <c r="T33" s="2"/>
      <c r="U33" s="2"/>
      <c r="V33" s="2"/>
      <c r="W33" s="2"/>
      <c r="X33" s="2"/>
      <c r="Y33" s="2" t="s">
        <v>48</v>
      </c>
      <c r="Z33" s="2" t="s">
        <v>57</v>
      </c>
      <c r="AA33" s="2"/>
      <c r="AB33" s="3"/>
      <c r="AC33" s="3"/>
      <c r="AD33" s="2"/>
      <c r="AE33" s="2"/>
    </row>
    <row r="34" spans="1:31" x14ac:dyDescent="0.2">
      <c r="A34" s="4" t="s">
        <v>184</v>
      </c>
      <c r="B34" s="4" t="s">
        <v>200</v>
      </c>
      <c r="C34" s="4" t="s">
        <v>72</v>
      </c>
      <c r="D34" s="4" t="s">
        <v>37</v>
      </c>
      <c r="E34" s="4" t="s">
        <v>150</v>
      </c>
      <c r="F34" s="4" t="s">
        <v>201</v>
      </c>
      <c r="G34" s="4" t="s">
        <v>40</v>
      </c>
      <c r="H34" s="4">
        <v>2</v>
      </c>
      <c r="I34" s="4">
        <v>3</v>
      </c>
      <c r="J34" s="4" t="s">
        <v>187</v>
      </c>
      <c r="K34" s="4" t="s">
        <v>99</v>
      </c>
      <c r="L34" s="4"/>
      <c r="M34" s="4" t="s">
        <v>202</v>
      </c>
      <c r="N34" s="4" t="s">
        <v>123</v>
      </c>
      <c r="O34" s="4" t="s">
        <v>203</v>
      </c>
      <c r="P34" s="4" t="s">
        <v>204</v>
      </c>
      <c r="Q34" s="4" t="s">
        <v>205</v>
      </c>
      <c r="R34" s="4"/>
      <c r="S34" s="4"/>
      <c r="T34" s="4"/>
      <c r="U34" s="4"/>
      <c r="V34" s="4"/>
      <c r="W34" s="4"/>
      <c r="X34" s="4"/>
      <c r="Y34" s="4" t="s">
        <v>48</v>
      </c>
      <c r="Z34" s="4" t="s">
        <v>57</v>
      </c>
      <c r="AA34" s="4"/>
      <c r="AB34" s="5"/>
      <c r="AC34" s="5"/>
      <c r="AD34" s="4"/>
      <c r="AE34" s="4"/>
    </row>
    <row r="35" spans="1:31" x14ac:dyDescent="0.2">
      <c r="A35" s="2" t="s">
        <v>184</v>
      </c>
      <c r="B35" s="2" t="s">
        <v>200</v>
      </c>
      <c r="C35" s="2" t="s">
        <v>72</v>
      </c>
      <c r="D35" s="2" t="s">
        <v>37</v>
      </c>
      <c r="E35" s="2" t="s">
        <v>65</v>
      </c>
      <c r="F35" s="2" t="s">
        <v>206</v>
      </c>
      <c r="G35" s="2" t="s">
        <v>40</v>
      </c>
      <c r="H35" s="2">
        <v>4</v>
      </c>
      <c r="I35" s="2">
        <v>10</v>
      </c>
      <c r="J35" s="2" t="s">
        <v>187</v>
      </c>
      <c r="K35" s="2" t="s">
        <v>99</v>
      </c>
      <c r="L35" s="2"/>
      <c r="M35" s="2" t="s">
        <v>207</v>
      </c>
      <c r="N35" s="2" t="s">
        <v>101</v>
      </c>
      <c r="O35" s="2" t="s">
        <v>208</v>
      </c>
      <c r="P35" s="2" t="s">
        <v>209</v>
      </c>
      <c r="Q35" s="2"/>
      <c r="R35" s="2"/>
      <c r="S35" s="2"/>
      <c r="T35" s="2"/>
      <c r="U35" s="2"/>
      <c r="V35" s="2"/>
      <c r="W35" s="2"/>
      <c r="X35" s="2"/>
      <c r="Y35" s="2" t="s">
        <v>48</v>
      </c>
      <c r="Z35" s="2" t="s">
        <v>57</v>
      </c>
      <c r="AA35" s="2"/>
      <c r="AB35" s="3"/>
      <c r="AC35" s="3"/>
      <c r="AD35" s="2"/>
      <c r="AE35" s="2"/>
    </row>
    <row r="36" spans="1:31" x14ac:dyDescent="0.2">
      <c r="A36" s="4" t="s">
        <v>184</v>
      </c>
      <c r="B36" s="4" t="s">
        <v>210</v>
      </c>
      <c r="C36" s="4" t="s">
        <v>84</v>
      </c>
      <c r="D36" s="4" t="s">
        <v>37</v>
      </c>
      <c r="E36" s="4" t="s">
        <v>65</v>
      </c>
      <c r="F36" s="4" t="s">
        <v>211</v>
      </c>
      <c r="G36" s="4" t="s">
        <v>140</v>
      </c>
      <c r="H36" s="4">
        <v>3</v>
      </c>
      <c r="I36" s="4">
        <v>6</v>
      </c>
      <c r="J36" s="4" t="s">
        <v>41</v>
      </c>
      <c r="K36" s="4" t="s">
        <v>212</v>
      </c>
      <c r="L36" s="4"/>
      <c r="M36" s="4" t="s">
        <v>213</v>
      </c>
      <c r="N36" s="4" t="s">
        <v>214</v>
      </c>
      <c r="O36" s="4" t="s">
        <v>215</v>
      </c>
      <c r="P36" s="4" t="s">
        <v>216</v>
      </c>
      <c r="Q36" s="4" t="s">
        <v>217</v>
      </c>
      <c r="R36" s="4"/>
      <c r="S36" s="4"/>
      <c r="T36" s="4"/>
      <c r="U36" s="4"/>
      <c r="V36" s="4"/>
      <c r="W36" s="4"/>
      <c r="X36" s="4"/>
      <c r="Y36" s="4" t="s">
        <v>48</v>
      </c>
      <c r="Z36" s="4" t="s">
        <v>57</v>
      </c>
      <c r="AA36" s="4"/>
      <c r="AB36" s="5"/>
      <c r="AC36" s="5"/>
      <c r="AD36" s="4"/>
      <c r="AE36" s="4"/>
    </row>
    <row r="37" spans="1:31" x14ac:dyDescent="0.2">
      <c r="A37" s="2" t="s">
        <v>184</v>
      </c>
      <c r="B37" s="2" t="s">
        <v>210</v>
      </c>
      <c r="C37" s="2" t="s">
        <v>84</v>
      </c>
      <c r="D37" s="2" t="s">
        <v>37</v>
      </c>
      <c r="E37" s="2" t="s">
        <v>38</v>
      </c>
      <c r="F37" s="2" t="s">
        <v>218</v>
      </c>
      <c r="G37" s="2" t="s">
        <v>40</v>
      </c>
      <c r="H37" s="2">
        <v>2</v>
      </c>
      <c r="I37" s="2">
        <v>3</v>
      </c>
      <c r="J37" s="2" t="s">
        <v>187</v>
      </c>
      <c r="K37" s="2" t="s">
        <v>99</v>
      </c>
      <c r="L37" s="2"/>
      <c r="M37" s="2" t="s">
        <v>219</v>
      </c>
      <c r="N37" s="2" t="s">
        <v>101</v>
      </c>
      <c r="O37" s="2" t="s">
        <v>220</v>
      </c>
      <c r="P37" s="2" t="s">
        <v>221</v>
      </c>
      <c r="Q37" s="2" t="s">
        <v>222</v>
      </c>
      <c r="R37" s="2"/>
      <c r="S37" s="2"/>
      <c r="T37" s="2"/>
      <c r="U37" s="2"/>
      <c r="V37" s="2"/>
      <c r="W37" s="2"/>
      <c r="X37" s="2"/>
      <c r="Y37" s="2" t="s">
        <v>48</v>
      </c>
      <c r="Z37" s="2" t="s">
        <v>57</v>
      </c>
      <c r="AA37" s="2"/>
      <c r="AB37" s="3"/>
      <c r="AC37" s="3"/>
      <c r="AD37" s="2"/>
      <c r="AE37" s="2"/>
    </row>
    <row r="38" spans="1:31" ht="28" x14ac:dyDescent="0.2">
      <c r="A38" s="4" t="s">
        <v>184</v>
      </c>
      <c r="B38" s="4" t="s">
        <v>210</v>
      </c>
      <c r="C38" s="4" t="s">
        <v>84</v>
      </c>
      <c r="D38" s="4" t="s">
        <v>50</v>
      </c>
      <c r="E38" s="4" t="s">
        <v>65</v>
      </c>
      <c r="F38" s="4" t="s">
        <v>223</v>
      </c>
      <c r="G38" s="4" t="s">
        <v>40</v>
      </c>
      <c r="H38" s="4">
        <v>2</v>
      </c>
      <c r="I38" s="4">
        <v>3</v>
      </c>
      <c r="J38" s="4" t="s">
        <v>41</v>
      </c>
      <c r="K38" s="4" t="s">
        <v>224</v>
      </c>
      <c r="L38" s="4"/>
      <c r="M38" s="4" t="s">
        <v>225</v>
      </c>
      <c r="N38" s="4" t="s">
        <v>226</v>
      </c>
      <c r="O38" s="4" t="s">
        <v>227</v>
      </c>
      <c r="P38" s="4" t="s">
        <v>228</v>
      </c>
      <c r="Q38" s="4" t="s">
        <v>229</v>
      </c>
      <c r="R38" s="4"/>
      <c r="S38" s="4"/>
      <c r="T38" s="4"/>
      <c r="U38" s="4"/>
      <c r="V38" s="4"/>
      <c r="W38" s="4"/>
      <c r="X38" s="4"/>
      <c r="Y38" s="4" t="s">
        <v>48</v>
      </c>
      <c r="Z38" s="4" t="s">
        <v>57</v>
      </c>
      <c r="AA38" s="4"/>
      <c r="AB38" s="5"/>
      <c r="AC38" s="5"/>
      <c r="AD38" s="4"/>
      <c r="AE38" s="4"/>
    </row>
    <row r="39" spans="1:31" x14ac:dyDescent="0.2">
      <c r="A39" s="2" t="s">
        <v>184</v>
      </c>
      <c r="B39" s="2" t="s">
        <v>230</v>
      </c>
      <c r="C39" s="2" t="s">
        <v>92</v>
      </c>
      <c r="D39" s="2" t="s">
        <v>37</v>
      </c>
      <c r="E39" s="2" t="s">
        <v>65</v>
      </c>
      <c r="F39" s="2" t="s">
        <v>231</v>
      </c>
      <c r="G39" s="2" t="s">
        <v>145</v>
      </c>
      <c r="H39" s="2">
        <v>2</v>
      </c>
      <c r="I39" s="2">
        <v>7</v>
      </c>
      <c r="J39" s="2" t="s">
        <v>41</v>
      </c>
      <c r="K39" s="2" t="s">
        <v>112</v>
      </c>
      <c r="L39" s="2"/>
      <c r="M39" s="2" t="s">
        <v>232</v>
      </c>
      <c r="N39" s="2" t="s">
        <v>114</v>
      </c>
      <c r="O39" s="2" t="s">
        <v>175</v>
      </c>
      <c r="P39" s="2" t="s">
        <v>176</v>
      </c>
      <c r="Q39" s="2"/>
      <c r="R39" s="2"/>
      <c r="S39" s="2"/>
      <c r="T39" s="2"/>
      <c r="U39" s="2"/>
      <c r="V39" s="2"/>
      <c r="W39" s="2"/>
      <c r="X39" s="2"/>
      <c r="Y39" s="2" t="s">
        <v>48</v>
      </c>
      <c r="Z39" s="2" t="s">
        <v>57</v>
      </c>
      <c r="AA39" s="2"/>
      <c r="AB39" s="3"/>
      <c r="AC39" s="3"/>
      <c r="AD39" s="2"/>
      <c r="AE39" s="2"/>
    </row>
    <row r="40" spans="1:31" x14ac:dyDescent="0.2">
      <c r="A40" s="4" t="s">
        <v>184</v>
      </c>
      <c r="B40" s="4" t="s">
        <v>230</v>
      </c>
      <c r="C40" s="4" t="s">
        <v>92</v>
      </c>
      <c r="D40" s="4" t="s">
        <v>37</v>
      </c>
      <c r="E40" s="4" t="s">
        <v>65</v>
      </c>
      <c r="F40" s="4" t="s">
        <v>233</v>
      </c>
      <c r="G40" s="4" t="s">
        <v>40</v>
      </c>
      <c r="H40" s="4">
        <v>2</v>
      </c>
      <c r="I40" s="4">
        <v>3</v>
      </c>
      <c r="J40" s="4" t="s">
        <v>41</v>
      </c>
      <c r="K40" s="4" t="s">
        <v>112</v>
      </c>
      <c r="L40" s="4"/>
      <c r="M40" s="4" t="s">
        <v>234</v>
      </c>
      <c r="N40" s="4" t="s">
        <v>114</v>
      </c>
      <c r="O40" s="4" t="s">
        <v>235</v>
      </c>
      <c r="P40" s="4" t="s">
        <v>236</v>
      </c>
      <c r="Q40" s="4"/>
      <c r="R40" s="4"/>
      <c r="S40" s="4"/>
      <c r="T40" s="4"/>
      <c r="U40" s="4"/>
      <c r="V40" s="4"/>
      <c r="W40" s="4"/>
      <c r="X40" s="4"/>
      <c r="Y40" s="4" t="s">
        <v>48</v>
      </c>
      <c r="Z40" s="4" t="s">
        <v>57</v>
      </c>
      <c r="AA40" s="4"/>
      <c r="AB40" s="5"/>
      <c r="AC40" s="5"/>
      <c r="AD40" s="4"/>
      <c r="AE40" s="4"/>
    </row>
    <row r="41" spans="1:31" x14ac:dyDescent="0.2">
      <c r="A41" s="2" t="s">
        <v>184</v>
      </c>
      <c r="B41" s="2" t="s">
        <v>230</v>
      </c>
      <c r="C41" s="2" t="s">
        <v>92</v>
      </c>
      <c r="D41" s="2" t="s">
        <v>37</v>
      </c>
      <c r="E41" s="2" t="s">
        <v>65</v>
      </c>
      <c r="F41" s="2" t="s">
        <v>237</v>
      </c>
      <c r="G41" s="2" t="s">
        <v>40</v>
      </c>
      <c r="H41" s="2">
        <v>2</v>
      </c>
      <c r="I41" s="2">
        <v>6</v>
      </c>
      <c r="J41" s="2" t="s">
        <v>41</v>
      </c>
      <c r="K41" s="2" t="s">
        <v>99</v>
      </c>
      <c r="L41" s="2"/>
      <c r="M41" s="2" t="s">
        <v>238</v>
      </c>
      <c r="N41" s="2" t="s">
        <v>101</v>
      </c>
      <c r="O41" s="2" t="s">
        <v>239</v>
      </c>
      <c r="P41" s="2" t="s">
        <v>240</v>
      </c>
      <c r="Q41" s="2"/>
      <c r="R41" s="2"/>
      <c r="S41" s="2"/>
      <c r="T41" s="2"/>
      <c r="U41" s="2"/>
      <c r="V41" s="2"/>
      <c r="W41" s="2"/>
      <c r="X41" s="2"/>
      <c r="Y41" s="2" t="s">
        <v>48</v>
      </c>
      <c r="Z41" s="2" t="s">
        <v>57</v>
      </c>
      <c r="AA41" s="2"/>
      <c r="AB41" s="3"/>
      <c r="AC41" s="3"/>
      <c r="AD41" s="2"/>
      <c r="AE41" s="2"/>
    </row>
    <row r="42" spans="1:31" x14ac:dyDescent="0.2">
      <c r="A42" s="4" t="s">
        <v>184</v>
      </c>
      <c r="B42" s="4" t="s">
        <v>241</v>
      </c>
      <c r="C42" s="4" t="s">
        <v>104</v>
      </c>
      <c r="D42" s="4" t="s">
        <v>37</v>
      </c>
      <c r="E42" s="4" t="s">
        <v>80</v>
      </c>
      <c r="F42" s="4" t="s">
        <v>242</v>
      </c>
      <c r="G42" s="4" t="s">
        <v>40</v>
      </c>
      <c r="H42" s="4">
        <v>2</v>
      </c>
      <c r="I42" s="4">
        <v>3</v>
      </c>
      <c r="J42" s="4" t="s">
        <v>187</v>
      </c>
      <c r="K42" s="4" t="s">
        <v>99</v>
      </c>
      <c r="L42" s="4"/>
      <c r="M42" s="4" t="s">
        <v>243</v>
      </c>
      <c r="N42" s="4" t="s">
        <v>101</v>
      </c>
      <c r="O42" s="4" t="s">
        <v>244</v>
      </c>
      <c r="P42" s="4" t="s">
        <v>245</v>
      </c>
      <c r="Q42" s="4" t="s">
        <v>246</v>
      </c>
      <c r="R42" s="4"/>
      <c r="S42" s="4"/>
      <c r="T42" s="4"/>
      <c r="U42" s="4"/>
      <c r="V42" s="4"/>
      <c r="W42" s="4"/>
      <c r="X42" s="4"/>
      <c r="Y42" s="4" t="s">
        <v>48</v>
      </c>
      <c r="Z42" s="4" t="s">
        <v>57</v>
      </c>
      <c r="AA42" s="4"/>
      <c r="AB42" s="5"/>
      <c r="AC42" s="5"/>
      <c r="AD42" s="4"/>
      <c r="AE42" s="4"/>
    </row>
    <row r="43" spans="1:31" x14ac:dyDescent="0.2">
      <c r="A43" s="2" t="s">
        <v>184</v>
      </c>
      <c r="B43" s="2" t="s">
        <v>241</v>
      </c>
      <c r="C43" s="2" t="s">
        <v>104</v>
      </c>
      <c r="D43" s="2" t="s">
        <v>37</v>
      </c>
      <c r="E43" s="2" t="s">
        <v>65</v>
      </c>
      <c r="F43" s="2" t="s">
        <v>247</v>
      </c>
      <c r="G43" s="2" t="s">
        <v>74</v>
      </c>
      <c r="H43" s="2">
        <v>3</v>
      </c>
      <c r="I43" s="2">
        <v>7</v>
      </c>
      <c r="J43" s="2" t="s">
        <v>41</v>
      </c>
      <c r="K43" s="2" t="s">
        <v>75</v>
      </c>
      <c r="L43" s="2"/>
      <c r="M43" s="2" t="s">
        <v>248</v>
      </c>
      <c r="N43" s="2" t="s">
        <v>249</v>
      </c>
      <c r="O43" s="2" t="s">
        <v>250</v>
      </c>
      <c r="P43" s="2" t="s">
        <v>251</v>
      </c>
      <c r="Q43" s="2"/>
      <c r="R43" s="2"/>
      <c r="S43" s="2"/>
      <c r="T43" s="2"/>
      <c r="U43" s="2"/>
      <c r="V43" s="2"/>
      <c r="W43" s="2"/>
      <c r="X43" s="2"/>
      <c r="Y43" s="2" t="s">
        <v>48</v>
      </c>
      <c r="Z43" s="2" t="s">
        <v>49</v>
      </c>
      <c r="AA43" s="2"/>
      <c r="AB43" s="3"/>
      <c r="AC43" s="3"/>
      <c r="AD43" s="2"/>
      <c r="AE43" s="2"/>
    </row>
    <row r="44" spans="1:31" x14ac:dyDescent="0.2">
      <c r="A44" s="4" t="s">
        <v>252</v>
      </c>
      <c r="B44" s="4" t="s">
        <v>253</v>
      </c>
      <c r="C44" s="4" t="s">
        <v>36</v>
      </c>
      <c r="D44" s="4" t="s">
        <v>37</v>
      </c>
      <c r="E44" s="4" t="s">
        <v>65</v>
      </c>
      <c r="F44" s="4" t="s">
        <v>254</v>
      </c>
      <c r="G44" s="4" t="s">
        <v>40</v>
      </c>
      <c r="H44" s="4">
        <v>4</v>
      </c>
      <c r="I44" s="4">
        <v>12</v>
      </c>
      <c r="J44" s="4" t="s">
        <v>187</v>
      </c>
      <c r="K44" s="4" t="s">
        <v>52</v>
      </c>
      <c r="L44" s="4" t="s">
        <v>255</v>
      </c>
      <c r="M44" s="4"/>
      <c r="N44" s="4" t="s">
        <v>142</v>
      </c>
      <c r="O44" s="4"/>
      <c r="P44" s="4" t="s">
        <v>256</v>
      </c>
      <c r="Q44" s="4"/>
      <c r="R44" s="4"/>
      <c r="S44" s="4"/>
      <c r="T44" s="4"/>
      <c r="U44" s="4"/>
      <c r="V44" s="4"/>
      <c r="W44" s="4"/>
      <c r="X44" s="4"/>
      <c r="Y44" s="4" t="s">
        <v>48</v>
      </c>
      <c r="Z44" s="4" t="s">
        <v>57</v>
      </c>
      <c r="AA44" s="4"/>
      <c r="AB44" s="5"/>
      <c r="AC44" s="5"/>
      <c r="AD44" s="4"/>
      <c r="AE44" s="4"/>
    </row>
    <row r="45" spans="1:31" x14ac:dyDescent="0.2">
      <c r="A45" s="2" t="s">
        <v>252</v>
      </c>
      <c r="B45" s="2" t="s">
        <v>253</v>
      </c>
      <c r="C45" s="2" t="s">
        <v>36</v>
      </c>
      <c r="D45" s="2" t="s">
        <v>37</v>
      </c>
      <c r="E45" s="2" t="s">
        <v>38</v>
      </c>
      <c r="F45" s="2" t="s">
        <v>257</v>
      </c>
      <c r="G45" s="2" t="s">
        <v>140</v>
      </c>
      <c r="H45" s="2">
        <v>3</v>
      </c>
      <c r="I45" s="2">
        <v>8</v>
      </c>
      <c r="J45" s="2" t="s">
        <v>41</v>
      </c>
      <c r="K45" s="2" t="s">
        <v>112</v>
      </c>
      <c r="L45" s="2" t="s">
        <v>258</v>
      </c>
      <c r="M45" s="2"/>
      <c r="N45" s="2" t="s">
        <v>114</v>
      </c>
      <c r="O45" s="2"/>
      <c r="P45" s="2" t="s">
        <v>259</v>
      </c>
      <c r="Q45" s="2"/>
      <c r="R45" s="2"/>
      <c r="S45" s="2"/>
      <c r="T45" s="2"/>
      <c r="U45" s="2"/>
      <c r="V45" s="2"/>
      <c r="W45" s="2"/>
      <c r="X45" s="2"/>
      <c r="Y45" s="2" t="s">
        <v>48</v>
      </c>
      <c r="Z45" s="2" t="s">
        <v>57</v>
      </c>
      <c r="AA45" s="2"/>
      <c r="AB45" s="3"/>
      <c r="AC45" s="3"/>
      <c r="AD45" s="2"/>
      <c r="AE45" s="2"/>
    </row>
    <row r="46" spans="1:31" x14ac:dyDescent="0.2">
      <c r="A46" s="4" t="s">
        <v>252</v>
      </c>
      <c r="B46" s="4" t="s">
        <v>260</v>
      </c>
      <c r="C46" s="4" t="s">
        <v>72</v>
      </c>
      <c r="D46" s="4" t="s">
        <v>37</v>
      </c>
      <c r="E46" s="4" t="s">
        <v>65</v>
      </c>
      <c r="F46" s="4" t="s">
        <v>261</v>
      </c>
      <c r="G46" s="4" t="s">
        <v>140</v>
      </c>
      <c r="H46" s="4">
        <v>4</v>
      </c>
      <c r="I46" s="4">
        <v>12</v>
      </c>
      <c r="J46" s="4" t="s">
        <v>41</v>
      </c>
      <c r="K46" s="4" t="s">
        <v>262</v>
      </c>
      <c r="L46" s="4"/>
      <c r="M46" s="4" t="s">
        <v>263</v>
      </c>
      <c r="N46" s="4" t="s">
        <v>264</v>
      </c>
      <c r="O46" s="4" t="s">
        <v>265</v>
      </c>
      <c r="P46" s="4" t="s">
        <v>266</v>
      </c>
      <c r="Q46" s="4"/>
      <c r="R46" s="4"/>
      <c r="S46" s="4"/>
      <c r="T46" s="4"/>
      <c r="U46" s="4"/>
      <c r="V46" s="4"/>
      <c r="W46" s="4"/>
      <c r="X46" s="4"/>
      <c r="Y46" s="4" t="s">
        <v>48</v>
      </c>
      <c r="Z46" s="4" t="s">
        <v>57</v>
      </c>
      <c r="AA46" s="4"/>
      <c r="AB46" s="5"/>
      <c r="AC46" s="5"/>
      <c r="AD46" s="4"/>
      <c r="AE46" s="4"/>
    </row>
    <row r="47" spans="1:31" x14ac:dyDescent="0.2">
      <c r="A47" s="2" t="s">
        <v>252</v>
      </c>
      <c r="B47" s="2" t="s">
        <v>260</v>
      </c>
      <c r="C47" s="2" t="s">
        <v>72</v>
      </c>
      <c r="D47" s="2" t="s">
        <v>37</v>
      </c>
      <c r="E47" s="2" t="s">
        <v>65</v>
      </c>
      <c r="F47" s="2" t="s">
        <v>267</v>
      </c>
      <c r="G47" s="2" t="s">
        <v>40</v>
      </c>
      <c r="H47" s="2">
        <v>3</v>
      </c>
      <c r="I47" s="2">
        <v>5</v>
      </c>
      <c r="J47" s="2" t="s">
        <v>41</v>
      </c>
      <c r="K47" s="2" t="s">
        <v>268</v>
      </c>
      <c r="L47" s="2"/>
      <c r="M47" s="2" t="s">
        <v>269</v>
      </c>
      <c r="N47" s="2" t="s">
        <v>270</v>
      </c>
      <c r="O47" s="2" t="s">
        <v>271</v>
      </c>
      <c r="P47" s="2" t="s">
        <v>272</v>
      </c>
      <c r="Q47" s="2" t="s">
        <v>273</v>
      </c>
      <c r="R47" s="2"/>
      <c r="S47" s="2"/>
      <c r="T47" s="2"/>
      <c r="U47" s="2"/>
      <c r="V47" s="2"/>
      <c r="W47" s="2"/>
      <c r="X47" s="2"/>
      <c r="Y47" s="2" t="s">
        <v>48</v>
      </c>
      <c r="Z47" s="2" t="s">
        <v>274</v>
      </c>
      <c r="AA47" s="2"/>
      <c r="AB47" s="3"/>
      <c r="AC47" s="3"/>
      <c r="AD47" s="2"/>
      <c r="AE47" s="2"/>
    </row>
    <row r="48" spans="1:31" x14ac:dyDescent="0.2">
      <c r="A48" s="4" t="s">
        <v>252</v>
      </c>
      <c r="B48" s="4" t="s">
        <v>275</v>
      </c>
      <c r="C48" s="4" t="s">
        <v>84</v>
      </c>
      <c r="D48" s="4" t="s">
        <v>37</v>
      </c>
      <c r="E48" s="4" t="s">
        <v>65</v>
      </c>
      <c r="F48" s="4" t="s">
        <v>276</v>
      </c>
      <c r="G48" s="4" t="s">
        <v>140</v>
      </c>
      <c r="H48" s="4">
        <v>4</v>
      </c>
      <c r="I48" s="4">
        <v>12</v>
      </c>
      <c r="J48" s="4" t="s">
        <v>41</v>
      </c>
      <c r="K48" s="4" t="s">
        <v>262</v>
      </c>
      <c r="L48" s="4"/>
      <c r="M48" s="4" t="s">
        <v>277</v>
      </c>
      <c r="N48" s="4" t="s">
        <v>264</v>
      </c>
      <c r="O48" s="4" t="s">
        <v>265</v>
      </c>
      <c r="P48" s="4" t="s">
        <v>266</v>
      </c>
      <c r="Q48" s="4"/>
      <c r="R48" s="4"/>
      <c r="S48" s="4"/>
      <c r="T48" s="4"/>
      <c r="U48" s="4"/>
      <c r="V48" s="4"/>
      <c r="W48" s="4"/>
      <c r="X48" s="4"/>
      <c r="Y48" s="4" t="s">
        <v>48</v>
      </c>
      <c r="Z48" s="4" t="s">
        <v>57</v>
      </c>
      <c r="AA48" s="4"/>
      <c r="AB48" s="5"/>
      <c r="AC48" s="5"/>
      <c r="AD48" s="4"/>
      <c r="AE48" s="4"/>
    </row>
    <row r="49" spans="1:31" x14ac:dyDescent="0.2">
      <c r="A49" s="2" t="s">
        <v>252</v>
      </c>
      <c r="B49" s="2" t="s">
        <v>275</v>
      </c>
      <c r="C49" s="2" t="s">
        <v>84</v>
      </c>
      <c r="D49" s="2" t="s">
        <v>37</v>
      </c>
      <c r="E49" s="2" t="s">
        <v>38</v>
      </c>
      <c r="F49" s="2" t="s">
        <v>278</v>
      </c>
      <c r="G49" s="2" t="s">
        <v>40</v>
      </c>
      <c r="H49" s="2">
        <v>3</v>
      </c>
      <c r="I49" s="2">
        <v>6</v>
      </c>
      <c r="J49" s="2" t="s">
        <v>41</v>
      </c>
      <c r="K49" s="2" t="s">
        <v>99</v>
      </c>
      <c r="L49" s="2"/>
      <c r="M49" s="2" t="s">
        <v>238</v>
      </c>
      <c r="N49" s="2" t="s">
        <v>101</v>
      </c>
      <c r="O49" s="2" t="s">
        <v>239</v>
      </c>
      <c r="P49" s="2" t="s">
        <v>240</v>
      </c>
      <c r="Q49" s="2"/>
      <c r="R49" s="2"/>
      <c r="S49" s="2"/>
      <c r="T49" s="2"/>
      <c r="U49" s="2"/>
      <c r="V49" s="2"/>
      <c r="W49" s="2"/>
      <c r="X49" s="2"/>
      <c r="Y49" s="2" t="s">
        <v>48</v>
      </c>
      <c r="Z49" s="2" t="s">
        <v>57</v>
      </c>
      <c r="AA49" s="2"/>
      <c r="AB49" s="3"/>
      <c r="AC49" s="3"/>
      <c r="AD49" s="2"/>
      <c r="AE49" s="2"/>
    </row>
    <row r="50" spans="1:31" x14ac:dyDescent="0.2">
      <c r="A50" s="4" t="s">
        <v>252</v>
      </c>
      <c r="B50" s="4" t="s">
        <v>279</v>
      </c>
      <c r="C50" s="4" t="s">
        <v>92</v>
      </c>
      <c r="D50" s="4" t="s">
        <v>37</v>
      </c>
      <c r="E50" s="4" t="s">
        <v>65</v>
      </c>
      <c r="F50" s="4" t="s">
        <v>280</v>
      </c>
      <c r="G50" s="4" t="s">
        <v>40</v>
      </c>
      <c r="H50" s="4">
        <v>3</v>
      </c>
      <c r="I50" s="4">
        <v>5</v>
      </c>
      <c r="J50" s="4" t="s">
        <v>187</v>
      </c>
      <c r="K50" s="4" t="s">
        <v>99</v>
      </c>
      <c r="L50" s="4"/>
      <c r="M50" s="4" t="s">
        <v>281</v>
      </c>
      <c r="N50" s="4" t="s">
        <v>123</v>
      </c>
      <c r="O50" s="4" t="s">
        <v>282</v>
      </c>
      <c r="P50" s="4" t="s">
        <v>283</v>
      </c>
      <c r="Q50" s="4" t="s">
        <v>284</v>
      </c>
      <c r="R50" s="4"/>
      <c r="S50" s="4"/>
      <c r="T50" s="4"/>
      <c r="U50" s="4"/>
      <c r="V50" s="4"/>
      <c r="W50" s="4"/>
      <c r="X50" s="4"/>
      <c r="Y50" s="4" t="s">
        <v>48</v>
      </c>
      <c r="Z50" s="4" t="s">
        <v>57</v>
      </c>
      <c r="AA50" s="4"/>
      <c r="AB50" s="5"/>
      <c r="AC50" s="5"/>
      <c r="AD50" s="4"/>
      <c r="AE50" s="4"/>
    </row>
    <row r="51" spans="1:31" x14ac:dyDescent="0.2">
      <c r="A51" s="2" t="s">
        <v>252</v>
      </c>
      <c r="B51" s="2" t="s">
        <v>279</v>
      </c>
      <c r="C51" s="2" t="s">
        <v>92</v>
      </c>
      <c r="D51" s="2" t="s">
        <v>37</v>
      </c>
      <c r="E51" s="2" t="s">
        <v>285</v>
      </c>
      <c r="F51" s="2" t="s">
        <v>286</v>
      </c>
      <c r="G51" s="2" t="s">
        <v>40</v>
      </c>
      <c r="H51" s="2">
        <v>2</v>
      </c>
      <c r="I51" s="2">
        <v>0</v>
      </c>
      <c r="J51" s="2"/>
      <c r="K51" s="2" t="s">
        <v>262</v>
      </c>
      <c r="L51" s="2"/>
      <c r="M51" s="2" t="s">
        <v>287</v>
      </c>
      <c r="N51" s="2" t="s">
        <v>264</v>
      </c>
      <c r="O51" s="2"/>
      <c r="P51" s="2" t="s">
        <v>288</v>
      </c>
      <c r="Q51" s="2" t="s">
        <v>289</v>
      </c>
      <c r="R51" s="2"/>
      <c r="S51" s="2"/>
      <c r="T51" s="2"/>
      <c r="U51" s="2"/>
      <c r="V51" s="2"/>
      <c r="W51" s="2"/>
      <c r="X51" s="2"/>
      <c r="Y51" s="2" t="s">
        <v>48</v>
      </c>
      <c r="Z51" s="2" t="s">
        <v>57</v>
      </c>
      <c r="AA51" s="2"/>
      <c r="AB51" s="3"/>
      <c r="AC51" s="3"/>
      <c r="AD51" s="2"/>
      <c r="AE51" s="2"/>
    </row>
    <row r="52" spans="1:31" x14ac:dyDescent="0.2">
      <c r="A52" s="4" t="s">
        <v>252</v>
      </c>
      <c r="B52" s="4" t="s">
        <v>290</v>
      </c>
      <c r="C52" s="4" t="s">
        <v>104</v>
      </c>
      <c r="D52" s="4" t="s">
        <v>37</v>
      </c>
      <c r="E52" s="4" t="s">
        <v>65</v>
      </c>
      <c r="F52" s="4" t="s">
        <v>291</v>
      </c>
      <c r="G52" s="4" t="s">
        <v>40</v>
      </c>
      <c r="H52" s="4">
        <v>3</v>
      </c>
      <c r="I52" s="4">
        <v>6</v>
      </c>
      <c r="J52" s="4" t="s">
        <v>41</v>
      </c>
      <c r="K52" s="4" t="s">
        <v>42</v>
      </c>
      <c r="L52" s="4"/>
      <c r="M52" s="4" t="s">
        <v>292</v>
      </c>
      <c r="N52" s="4" t="s">
        <v>44</v>
      </c>
      <c r="O52" s="4" t="s">
        <v>293</v>
      </c>
      <c r="P52" s="4" t="s">
        <v>294</v>
      </c>
      <c r="Q52" s="4" t="s">
        <v>295</v>
      </c>
      <c r="R52" s="4"/>
      <c r="S52" s="4"/>
      <c r="T52" s="4"/>
      <c r="U52" s="4"/>
      <c r="V52" s="4"/>
      <c r="W52" s="4"/>
      <c r="X52" s="4"/>
      <c r="Y52" s="4" t="s">
        <v>48</v>
      </c>
      <c r="Z52" s="4" t="s">
        <v>57</v>
      </c>
      <c r="AA52" s="4"/>
      <c r="AB52" s="5"/>
      <c r="AC52" s="5"/>
      <c r="AD52" s="4"/>
      <c r="AE52" s="4"/>
    </row>
    <row r="53" spans="1:31" x14ac:dyDescent="0.2">
      <c r="A53" s="2" t="s">
        <v>296</v>
      </c>
      <c r="B53" s="2" t="s">
        <v>297</v>
      </c>
      <c r="C53" s="2" t="s">
        <v>36</v>
      </c>
      <c r="D53" s="2" t="s">
        <v>37</v>
      </c>
      <c r="E53" s="2" t="s">
        <v>65</v>
      </c>
      <c r="F53" s="2" t="s">
        <v>298</v>
      </c>
      <c r="G53" s="2" t="s">
        <v>145</v>
      </c>
      <c r="H53" s="2">
        <v>4</v>
      </c>
      <c r="I53" s="2">
        <v>5</v>
      </c>
      <c r="J53" s="2" t="s">
        <v>41</v>
      </c>
      <c r="K53" s="2" t="s">
        <v>224</v>
      </c>
      <c r="L53" s="2"/>
      <c r="M53" s="2" t="s">
        <v>299</v>
      </c>
      <c r="N53" s="2" t="s">
        <v>226</v>
      </c>
      <c r="O53" s="2"/>
      <c r="P53" s="2" t="s">
        <v>300</v>
      </c>
      <c r="Q53" s="2"/>
      <c r="R53" s="2"/>
      <c r="S53" s="2"/>
      <c r="T53" s="2"/>
      <c r="U53" s="2"/>
      <c r="V53" s="2"/>
      <c r="W53" s="2"/>
      <c r="X53" s="2"/>
      <c r="Y53" s="2" t="s">
        <v>48</v>
      </c>
      <c r="Z53" s="2" t="s">
        <v>57</v>
      </c>
      <c r="AA53" s="2"/>
      <c r="AB53" s="3"/>
      <c r="AC53" s="3"/>
      <c r="AD53" s="2"/>
      <c r="AE53" s="2"/>
    </row>
    <row r="54" spans="1:31" x14ac:dyDescent="0.2">
      <c r="A54" s="4" t="s">
        <v>296</v>
      </c>
      <c r="B54" s="4" t="s">
        <v>297</v>
      </c>
      <c r="C54" s="4" t="s">
        <v>36</v>
      </c>
      <c r="D54" s="4" t="s">
        <v>37</v>
      </c>
      <c r="E54" s="4" t="s">
        <v>38</v>
      </c>
      <c r="F54" s="4" t="s">
        <v>301</v>
      </c>
      <c r="G54" s="4" t="s">
        <v>40</v>
      </c>
      <c r="H54" s="4">
        <v>1</v>
      </c>
      <c r="I54" s="4">
        <v>3</v>
      </c>
      <c r="J54" s="4" t="s">
        <v>41</v>
      </c>
      <c r="K54" s="4" t="s">
        <v>75</v>
      </c>
      <c r="L54" s="4"/>
      <c r="M54" s="4" t="s">
        <v>302</v>
      </c>
      <c r="N54" s="4" t="s">
        <v>249</v>
      </c>
      <c r="O54" s="4" t="s">
        <v>303</v>
      </c>
      <c r="P54" s="4" t="s">
        <v>304</v>
      </c>
      <c r="Q54" s="4"/>
      <c r="R54" s="4"/>
      <c r="S54" s="4"/>
      <c r="T54" s="4"/>
      <c r="U54" s="4"/>
      <c r="V54" s="4"/>
      <c r="W54" s="4"/>
      <c r="X54" s="4"/>
      <c r="Y54" s="4" t="s">
        <v>48</v>
      </c>
      <c r="Z54" s="4" t="s">
        <v>57</v>
      </c>
      <c r="AA54" s="4"/>
      <c r="AB54" s="5"/>
      <c r="AC54" s="5"/>
      <c r="AD54" s="4"/>
      <c r="AE54" s="4"/>
    </row>
    <row r="55" spans="1:31" x14ac:dyDescent="0.2">
      <c r="A55" s="2" t="s">
        <v>296</v>
      </c>
      <c r="B55" s="2" t="s">
        <v>305</v>
      </c>
      <c r="C55" s="2" t="s">
        <v>72</v>
      </c>
      <c r="D55" s="2" t="s">
        <v>37</v>
      </c>
      <c r="E55" s="2" t="s">
        <v>285</v>
      </c>
      <c r="F55" s="2" t="s">
        <v>306</v>
      </c>
      <c r="G55" s="2" t="s">
        <v>145</v>
      </c>
      <c r="H55" s="2">
        <v>2</v>
      </c>
      <c r="I55" s="2">
        <v>4</v>
      </c>
      <c r="J55" s="2" t="s">
        <v>41</v>
      </c>
      <c r="K55" s="2" t="s">
        <v>307</v>
      </c>
      <c r="L55" s="2" t="s">
        <v>308</v>
      </c>
      <c r="M55" s="2"/>
      <c r="N55" s="2" t="s">
        <v>309</v>
      </c>
      <c r="O55" s="2" t="s">
        <v>310</v>
      </c>
      <c r="P55" s="2" t="s">
        <v>311</v>
      </c>
      <c r="Q55" s="2" t="s">
        <v>312</v>
      </c>
      <c r="R55" s="2"/>
      <c r="S55" s="2"/>
      <c r="T55" s="2"/>
      <c r="U55" s="2"/>
      <c r="V55" s="2"/>
      <c r="W55" s="2"/>
      <c r="X55" s="2"/>
      <c r="Y55" s="2" t="s">
        <v>48</v>
      </c>
      <c r="Z55" s="2" t="s">
        <v>57</v>
      </c>
      <c r="AA55" s="2"/>
      <c r="AB55" s="3"/>
      <c r="AC55" s="3"/>
      <c r="AD55" s="2"/>
      <c r="AE55" s="2"/>
    </row>
    <row r="56" spans="1:31" ht="28" x14ac:dyDescent="0.2">
      <c r="A56" s="4" t="s">
        <v>296</v>
      </c>
      <c r="B56" s="4" t="s">
        <v>305</v>
      </c>
      <c r="C56" s="4" t="s">
        <v>72</v>
      </c>
      <c r="D56" s="4" t="s">
        <v>37</v>
      </c>
      <c r="E56" s="4" t="s">
        <v>285</v>
      </c>
      <c r="F56" s="4" t="s">
        <v>313</v>
      </c>
      <c r="G56" s="4" t="s">
        <v>40</v>
      </c>
      <c r="H56" s="4">
        <v>2</v>
      </c>
      <c r="I56" s="4">
        <v>3</v>
      </c>
      <c r="J56" s="4" t="s">
        <v>41</v>
      </c>
      <c r="K56" s="4" t="s">
        <v>224</v>
      </c>
      <c r="L56" s="4"/>
      <c r="M56" s="4" t="s">
        <v>314</v>
      </c>
      <c r="N56" s="4" t="s">
        <v>226</v>
      </c>
      <c r="O56" s="4" t="s">
        <v>315</v>
      </c>
      <c r="P56" s="4" t="s">
        <v>300</v>
      </c>
      <c r="Q56" s="4"/>
      <c r="R56" s="4"/>
      <c r="S56" s="4"/>
      <c r="T56" s="4"/>
      <c r="U56" s="4"/>
      <c r="V56" s="4"/>
      <c r="W56" s="4"/>
      <c r="X56" s="4"/>
      <c r="Y56" s="4" t="s">
        <v>48</v>
      </c>
      <c r="Z56" s="4" t="s">
        <v>57</v>
      </c>
      <c r="AA56" s="4"/>
      <c r="AB56" s="5"/>
      <c r="AC56" s="5"/>
      <c r="AD56" s="4"/>
      <c r="AE56" s="4"/>
    </row>
    <row r="57" spans="1:31" x14ac:dyDescent="0.2">
      <c r="A57" s="2" t="s">
        <v>296</v>
      </c>
      <c r="B57" s="2" t="s">
        <v>305</v>
      </c>
      <c r="C57" s="2" t="s">
        <v>72</v>
      </c>
      <c r="D57" s="2" t="s">
        <v>37</v>
      </c>
      <c r="E57" s="2" t="s">
        <v>65</v>
      </c>
      <c r="F57" s="2" t="s">
        <v>316</v>
      </c>
      <c r="G57" s="2" t="s">
        <v>40</v>
      </c>
      <c r="H57" s="2">
        <v>3</v>
      </c>
      <c r="I57" s="2">
        <v>6</v>
      </c>
      <c r="J57" s="2" t="s">
        <v>41</v>
      </c>
      <c r="K57" s="2" t="s">
        <v>99</v>
      </c>
      <c r="L57" s="2"/>
      <c r="M57" s="2" t="s">
        <v>238</v>
      </c>
      <c r="N57" s="2" t="s">
        <v>101</v>
      </c>
      <c r="O57" s="2" t="s">
        <v>239</v>
      </c>
      <c r="P57" s="2" t="s">
        <v>240</v>
      </c>
      <c r="Q57" s="2"/>
      <c r="R57" s="2"/>
      <c r="S57" s="2"/>
      <c r="T57" s="2"/>
      <c r="U57" s="2"/>
      <c r="V57" s="2"/>
      <c r="W57" s="2"/>
      <c r="X57" s="2"/>
      <c r="Y57" s="2" t="s">
        <v>48</v>
      </c>
      <c r="Z57" s="2" t="s">
        <v>57</v>
      </c>
      <c r="AA57" s="2"/>
      <c r="AB57" s="3"/>
      <c r="AC57" s="3"/>
      <c r="AD57" s="2"/>
      <c r="AE57" s="2"/>
    </row>
    <row r="58" spans="1:31" x14ac:dyDescent="0.2">
      <c r="A58" s="4" t="s">
        <v>296</v>
      </c>
      <c r="B58" s="4" t="s">
        <v>317</v>
      </c>
      <c r="C58" s="4" t="s">
        <v>84</v>
      </c>
      <c r="D58" s="4" t="s">
        <v>37</v>
      </c>
      <c r="E58" s="4" t="s">
        <v>65</v>
      </c>
      <c r="F58" s="4" t="s">
        <v>318</v>
      </c>
      <c r="G58" s="4" t="s">
        <v>40</v>
      </c>
      <c r="H58" s="4">
        <v>4</v>
      </c>
      <c r="I58" s="4">
        <v>12</v>
      </c>
      <c r="J58" s="4" t="s">
        <v>41</v>
      </c>
      <c r="K58" s="4" t="s">
        <v>112</v>
      </c>
      <c r="L58" s="4" t="s">
        <v>319</v>
      </c>
      <c r="M58" s="4"/>
      <c r="N58" s="4" t="s">
        <v>114</v>
      </c>
      <c r="O58" s="4" t="s">
        <v>320</v>
      </c>
      <c r="P58" s="4" t="s">
        <v>321</v>
      </c>
      <c r="Q58" s="4"/>
      <c r="R58" s="4"/>
      <c r="S58" s="4"/>
      <c r="T58" s="4"/>
      <c r="U58" s="4"/>
      <c r="V58" s="4"/>
      <c r="W58" s="4"/>
      <c r="X58" s="4"/>
      <c r="Y58" s="4" t="s">
        <v>48</v>
      </c>
      <c r="Z58" s="4" t="s">
        <v>57</v>
      </c>
      <c r="AA58" s="4"/>
      <c r="AB58" s="5"/>
      <c r="AC58" s="5"/>
      <c r="AD58" s="4"/>
      <c r="AE58" s="4"/>
    </row>
    <row r="59" spans="1:31" x14ac:dyDescent="0.2">
      <c r="A59" s="2" t="s">
        <v>296</v>
      </c>
      <c r="B59" s="2" t="s">
        <v>317</v>
      </c>
      <c r="C59" s="2" t="s">
        <v>84</v>
      </c>
      <c r="D59" s="2" t="s">
        <v>37</v>
      </c>
      <c r="E59" s="2" t="s">
        <v>65</v>
      </c>
      <c r="F59" s="2" t="s">
        <v>322</v>
      </c>
      <c r="G59" s="2" t="s">
        <v>145</v>
      </c>
      <c r="H59" s="2">
        <v>2</v>
      </c>
      <c r="I59" s="2">
        <v>5</v>
      </c>
      <c r="J59" s="2" t="s">
        <v>41</v>
      </c>
      <c r="K59" s="2" t="s">
        <v>99</v>
      </c>
      <c r="L59" s="2"/>
      <c r="M59" s="2" t="s">
        <v>323</v>
      </c>
      <c r="N59" s="2" t="s">
        <v>101</v>
      </c>
      <c r="O59" s="2" t="s">
        <v>324</v>
      </c>
      <c r="P59" s="2" t="s">
        <v>325</v>
      </c>
      <c r="Q59" s="2"/>
      <c r="R59" s="2"/>
      <c r="S59" s="2"/>
      <c r="T59" s="2"/>
      <c r="U59" s="2"/>
      <c r="V59" s="2"/>
      <c r="W59" s="2"/>
      <c r="X59" s="2"/>
      <c r="Y59" s="2" t="s">
        <v>48</v>
      </c>
      <c r="Z59" s="2" t="s">
        <v>57</v>
      </c>
      <c r="AA59" s="2"/>
      <c r="AB59" s="3"/>
      <c r="AC59" s="3"/>
      <c r="AD59" s="2"/>
      <c r="AE59" s="2"/>
    </row>
    <row r="60" spans="1:31" x14ac:dyDescent="0.2">
      <c r="A60" s="4" t="s">
        <v>296</v>
      </c>
      <c r="B60" s="4" t="s">
        <v>326</v>
      </c>
      <c r="C60" s="4" t="s">
        <v>92</v>
      </c>
      <c r="D60" s="4" t="s">
        <v>37</v>
      </c>
      <c r="E60" s="4" t="s">
        <v>65</v>
      </c>
      <c r="F60" s="4" t="s">
        <v>327</v>
      </c>
      <c r="G60" s="4" t="s">
        <v>40</v>
      </c>
      <c r="H60" s="4">
        <v>4</v>
      </c>
      <c r="I60" s="4">
        <v>5</v>
      </c>
      <c r="J60" s="4" t="s">
        <v>41</v>
      </c>
      <c r="K60" s="4" t="s">
        <v>212</v>
      </c>
      <c r="L60" s="4"/>
      <c r="M60" s="4" t="s">
        <v>328</v>
      </c>
      <c r="N60" s="4" t="s">
        <v>214</v>
      </c>
      <c r="O60" s="4" t="s">
        <v>329</v>
      </c>
      <c r="P60" s="4" t="s">
        <v>330</v>
      </c>
      <c r="Q60" s="4" t="s">
        <v>331</v>
      </c>
      <c r="R60" s="4"/>
      <c r="S60" s="4"/>
      <c r="T60" s="4"/>
      <c r="U60" s="4"/>
      <c r="V60" s="4"/>
      <c r="W60" s="4"/>
      <c r="X60" s="4"/>
      <c r="Y60" s="4" t="s">
        <v>48</v>
      </c>
      <c r="Z60" s="4" t="s">
        <v>49</v>
      </c>
      <c r="AA60" s="4"/>
      <c r="AB60" s="5"/>
      <c r="AC60" s="5"/>
      <c r="AD60" s="4"/>
      <c r="AE60" s="4"/>
    </row>
    <row r="61" spans="1:31" x14ac:dyDescent="0.2">
      <c r="A61" s="2" t="s">
        <v>296</v>
      </c>
      <c r="B61" s="2" t="s">
        <v>326</v>
      </c>
      <c r="C61" s="2" t="s">
        <v>92</v>
      </c>
      <c r="D61" s="2" t="s">
        <v>37</v>
      </c>
      <c r="E61" s="2" t="s">
        <v>80</v>
      </c>
      <c r="F61" s="2" t="s">
        <v>332</v>
      </c>
      <c r="G61" s="2" t="s">
        <v>140</v>
      </c>
      <c r="H61" s="2">
        <v>2</v>
      </c>
      <c r="I61" s="2">
        <v>3</v>
      </c>
      <c r="J61" s="2" t="s">
        <v>41</v>
      </c>
      <c r="K61" s="2" t="s">
        <v>42</v>
      </c>
      <c r="L61" s="2" t="s">
        <v>333</v>
      </c>
      <c r="M61" s="2"/>
      <c r="N61" s="2" t="s">
        <v>44</v>
      </c>
      <c r="O61" s="2" t="s">
        <v>334</v>
      </c>
      <c r="P61" s="2" t="s">
        <v>335</v>
      </c>
      <c r="Q61" s="2"/>
      <c r="R61" s="2"/>
      <c r="S61" s="2"/>
      <c r="T61" s="2"/>
      <c r="U61" s="2"/>
      <c r="V61" s="2"/>
      <c r="W61" s="2"/>
      <c r="X61" s="2"/>
      <c r="Y61" s="2" t="s">
        <v>48</v>
      </c>
      <c r="Z61" s="2" t="s">
        <v>57</v>
      </c>
      <c r="AA61" s="2"/>
      <c r="AB61" s="3"/>
      <c r="AC61" s="3"/>
      <c r="AD61" s="2"/>
      <c r="AE61" s="2"/>
    </row>
    <row r="62" spans="1:31" x14ac:dyDescent="0.2">
      <c r="A62" s="4" t="s">
        <v>296</v>
      </c>
      <c r="B62" s="4" t="s">
        <v>336</v>
      </c>
      <c r="C62" s="4" t="s">
        <v>104</v>
      </c>
      <c r="D62" s="4" t="s">
        <v>37</v>
      </c>
      <c r="E62" s="4" t="s">
        <v>65</v>
      </c>
      <c r="F62" s="4" t="s">
        <v>337</v>
      </c>
      <c r="G62" s="4" t="s">
        <v>40</v>
      </c>
      <c r="H62" s="4">
        <v>3</v>
      </c>
      <c r="I62" s="4">
        <v>5</v>
      </c>
      <c r="J62" s="4" t="s">
        <v>41</v>
      </c>
      <c r="K62" s="4" t="s">
        <v>212</v>
      </c>
      <c r="L62" s="4"/>
      <c r="M62" s="4" t="s">
        <v>338</v>
      </c>
      <c r="N62" s="4" t="s">
        <v>214</v>
      </c>
      <c r="O62" s="4" t="s">
        <v>339</v>
      </c>
      <c r="P62" s="4" t="s">
        <v>340</v>
      </c>
      <c r="Q62" s="4" t="s">
        <v>341</v>
      </c>
      <c r="R62" s="4"/>
      <c r="S62" s="4"/>
      <c r="T62" s="4"/>
      <c r="U62" s="4"/>
      <c r="V62" s="4"/>
      <c r="W62" s="4"/>
      <c r="X62" s="4"/>
      <c r="Y62" s="4" t="s">
        <v>48</v>
      </c>
      <c r="Z62" s="4" t="s">
        <v>49</v>
      </c>
      <c r="AA62" s="4"/>
      <c r="AB62" s="5"/>
      <c r="AC62" s="5"/>
      <c r="AD62" s="4"/>
      <c r="AE62" s="4"/>
    </row>
    <row r="63" spans="1:31" x14ac:dyDescent="0.2">
      <c r="A63" s="2" t="s">
        <v>342</v>
      </c>
      <c r="B63" s="2" t="s">
        <v>343</v>
      </c>
      <c r="C63" s="2" t="s">
        <v>36</v>
      </c>
      <c r="D63" s="2" t="s">
        <v>37</v>
      </c>
      <c r="E63" s="2" t="s">
        <v>150</v>
      </c>
      <c r="F63" s="2" t="s">
        <v>344</v>
      </c>
      <c r="G63" s="2" t="s">
        <v>40</v>
      </c>
      <c r="H63" s="2">
        <v>1</v>
      </c>
      <c r="I63" s="2">
        <v>3</v>
      </c>
      <c r="J63" s="2" t="s">
        <v>41</v>
      </c>
      <c r="K63" s="2" t="s">
        <v>345</v>
      </c>
      <c r="L63" s="2"/>
      <c r="M63" s="2" t="s">
        <v>346</v>
      </c>
      <c r="N63" s="2" t="s">
        <v>347</v>
      </c>
      <c r="O63" s="2" t="s">
        <v>348</v>
      </c>
      <c r="P63" s="2" t="s">
        <v>349</v>
      </c>
      <c r="Q63" s="2"/>
      <c r="R63" s="2"/>
      <c r="S63" s="2"/>
      <c r="T63" s="2"/>
      <c r="U63" s="2"/>
      <c r="V63" s="2"/>
      <c r="W63" s="2"/>
      <c r="X63" s="2"/>
      <c r="Y63" s="2" t="s">
        <v>48</v>
      </c>
      <c r="Z63" s="2" t="s">
        <v>57</v>
      </c>
      <c r="AA63" s="2"/>
      <c r="AB63" s="3"/>
      <c r="AC63" s="3"/>
      <c r="AD63" s="2"/>
      <c r="AE63" s="2"/>
    </row>
    <row r="64" spans="1:31" x14ac:dyDescent="0.2">
      <c r="A64" s="4" t="s">
        <v>342</v>
      </c>
      <c r="B64" s="4" t="s">
        <v>343</v>
      </c>
      <c r="C64" s="4" t="s">
        <v>36</v>
      </c>
      <c r="D64" s="4" t="s">
        <v>37</v>
      </c>
      <c r="E64" s="4" t="s">
        <v>65</v>
      </c>
      <c r="F64" s="4" t="s">
        <v>350</v>
      </c>
      <c r="G64" s="4" t="s">
        <v>40</v>
      </c>
      <c r="H64" s="4">
        <v>3</v>
      </c>
      <c r="I64" s="4">
        <v>6</v>
      </c>
      <c r="J64" s="4" t="s">
        <v>41</v>
      </c>
      <c r="K64" s="4" t="s">
        <v>167</v>
      </c>
      <c r="L64" s="4"/>
      <c r="M64" s="4" t="s">
        <v>351</v>
      </c>
      <c r="N64" s="4" t="s">
        <v>169</v>
      </c>
      <c r="O64" s="4" t="s">
        <v>352</v>
      </c>
      <c r="P64" s="4" t="s">
        <v>353</v>
      </c>
      <c r="Q64" s="4"/>
      <c r="R64" s="4"/>
      <c r="S64" s="4"/>
      <c r="T64" s="4"/>
      <c r="U64" s="4"/>
      <c r="V64" s="4"/>
      <c r="W64" s="4"/>
      <c r="X64" s="4"/>
      <c r="Y64" s="4" t="s">
        <v>48</v>
      </c>
      <c r="Z64" s="4"/>
      <c r="AA64" s="4"/>
      <c r="AB64" s="5"/>
      <c r="AC64" s="5"/>
      <c r="AD64" s="4"/>
      <c r="AE64" s="4"/>
    </row>
    <row r="65" spans="1:31" x14ac:dyDescent="0.2">
      <c r="A65" s="2" t="s">
        <v>342</v>
      </c>
      <c r="B65" s="2" t="s">
        <v>354</v>
      </c>
      <c r="C65" s="2" t="s">
        <v>72</v>
      </c>
      <c r="D65" s="2" t="s">
        <v>37</v>
      </c>
      <c r="E65" s="2" t="s">
        <v>65</v>
      </c>
      <c r="F65" s="2" t="s">
        <v>355</v>
      </c>
      <c r="G65" s="2" t="s">
        <v>40</v>
      </c>
      <c r="H65" s="2">
        <v>1</v>
      </c>
      <c r="I65" s="2">
        <v>3</v>
      </c>
      <c r="J65" s="2" t="s">
        <v>187</v>
      </c>
      <c r="K65" s="2" t="s">
        <v>268</v>
      </c>
      <c r="L65" s="2"/>
      <c r="M65" s="2" t="s">
        <v>356</v>
      </c>
      <c r="N65" s="2" t="s">
        <v>270</v>
      </c>
      <c r="O65" s="2" t="s">
        <v>357</v>
      </c>
      <c r="P65" s="2" t="s">
        <v>358</v>
      </c>
      <c r="Q65" s="2" t="s">
        <v>359</v>
      </c>
      <c r="R65" s="2"/>
      <c r="S65" s="2"/>
      <c r="T65" s="2"/>
      <c r="U65" s="2"/>
      <c r="V65" s="2"/>
      <c r="W65" s="2"/>
      <c r="X65" s="2"/>
      <c r="Y65" s="2" t="s">
        <v>48</v>
      </c>
      <c r="Z65" s="2"/>
      <c r="AA65" s="2"/>
      <c r="AB65" s="3"/>
      <c r="AC65" s="3"/>
      <c r="AD65" s="2"/>
      <c r="AE65" s="2"/>
    </row>
    <row r="66" spans="1:31" x14ac:dyDescent="0.2">
      <c r="A66" s="4" t="s">
        <v>342</v>
      </c>
      <c r="B66" s="4" t="s">
        <v>360</v>
      </c>
      <c r="C66" s="4" t="s">
        <v>84</v>
      </c>
      <c r="D66" s="4" t="s">
        <v>37</v>
      </c>
      <c r="E66" s="4" t="s">
        <v>65</v>
      </c>
      <c r="F66" s="4" t="s">
        <v>361</v>
      </c>
      <c r="G66" s="4" t="s">
        <v>40</v>
      </c>
      <c r="H66" s="4">
        <v>4</v>
      </c>
      <c r="I66" s="4">
        <v>8</v>
      </c>
      <c r="J66" s="4" t="s">
        <v>41</v>
      </c>
      <c r="K66" s="4" t="s">
        <v>307</v>
      </c>
      <c r="L66" s="4"/>
      <c r="M66" s="4" t="s">
        <v>362</v>
      </c>
      <c r="N66" s="4" t="s">
        <v>309</v>
      </c>
      <c r="O66" s="4" t="s">
        <v>363</v>
      </c>
      <c r="P66" s="4"/>
      <c r="Q66" s="4" t="s">
        <v>364</v>
      </c>
      <c r="R66" s="4"/>
      <c r="S66" s="4"/>
      <c r="T66" s="4"/>
      <c r="U66" s="4"/>
      <c r="V66" s="4"/>
      <c r="W66" s="4"/>
      <c r="X66" s="4"/>
      <c r="Y66" s="4" t="s">
        <v>48</v>
      </c>
      <c r="Z66" s="4" t="s">
        <v>49</v>
      </c>
      <c r="AA66" s="4"/>
      <c r="AB66" s="5"/>
      <c r="AC66" s="5"/>
      <c r="AD66" s="4"/>
      <c r="AE66" s="4"/>
    </row>
    <row r="67" spans="1:31" x14ac:dyDescent="0.2">
      <c r="A67" s="2" t="s">
        <v>342</v>
      </c>
      <c r="B67" s="2" t="s">
        <v>360</v>
      </c>
      <c r="C67" s="2" t="s">
        <v>84</v>
      </c>
      <c r="D67" s="2" t="s">
        <v>37</v>
      </c>
      <c r="E67" s="2" t="s">
        <v>80</v>
      </c>
      <c r="F67" s="2" t="s">
        <v>365</v>
      </c>
      <c r="G67" s="2" t="s">
        <v>40</v>
      </c>
      <c r="H67" s="2">
        <v>2</v>
      </c>
      <c r="I67" s="2">
        <v>3</v>
      </c>
      <c r="J67" s="2" t="s">
        <v>41</v>
      </c>
      <c r="K67" s="2" t="s">
        <v>42</v>
      </c>
      <c r="L67" s="2"/>
      <c r="M67" s="2" t="s">
        <v>366</v>
      </c>
      <c r="N67" s="2" t="s">
        <v>44</v>
      </c>
      <c r="O67" s="2"/>
      <c r="P67" s="2" t="s">
        <v>367</v>
      </c>
      <c r="Q67" s="2" t="s">
        <v>368</v>
      </c>
      <c r="R67" s="2"/>
      <c r="S67" s="2"/>
      <c r="T67" s="2"/>
      <c r="U67" s="2"/>
      <c r="V67" s="2"/>
      <c r="W67" s="2"/>
      <c r="X67" s="2"/>
      <c r="Y67" s="2" t="s">
        <v>48</v>
      </c>
      <c r="Z67" s="2"/>
      <c r="AA67" s="2"/>
      <c r="AB67" s="3"/>
      <c r="AC67" s="3"/>
      <c r="AD67" s="2"/>
      <c r="AE67" s="2"/>
    </row>
    <row r="68" spans="1:31" ht="28" x14ac:dyDescent="0.2">
      <c r="A68" s="4" t="s">
        <v>342</v>
      </c>
      <c r="B68" s="4" t="s">
        <v>369</v>
      </c>
      <c r="C68" s="4" t="s">
        <v>92</v>
      </c>
      <c r="D68" s="4" t="s">
        <v>37</v>
      </c>
      <c r="E68" s="4" t="s">
        <v>65</v>
      </c>
      <c r="F68" s="4" t="s">
        <v>370</v>
      </c>
      <c r="G68" s="4" t="s">
        <v>74</v>
      </c>
      <c r="H68" s="4">
        <v>4</v>
      </c>
      <c r="I68" s="4">
        <v>6</v>
      </c>
      <c r="J68" s="4" t="s">
        <v>41</v>
      </c>
      <c r="K68" s="4" t="s">
        <v>262</v>
      </c>
      <c r="L68" s="4"/>
      <c r="M68" s="4" t="s">
        <v>371</v>
      </c>
      <c r="N68" s="4" t="s">
        <v>264</v>
      </c>
      <c r="O68" s="4"/>
      <c r="P68" s="4" t="s">
        <v>372</v>
      </c>
      <c r="Q68" s="4"/>
      <c r="R68" s="4"/>
      <c r="S68" s="4"/>
      <c r="T68" s="4"/>
      <c r="U68" s="4"/>
      <c r="V68" s="4"/>
      <c r="W68" s="4"/>
      <c r="X68" s="4"/>
      <c r="Y68" s="4" t="s">
        <v>48</v>
      </c>
      <c r="Z68" s="4" t="s">
        <v>49</v>
      </c>
      <c r="AA68" s="4"/>
      <c r="AB68" s="5"/>
      <c r="AC68" s="5"/>
      <c r="AD68" s="4"/>
      <c r="AE68" s="4"/>
    </row>
    <row r="69" spans="1:31" ht="28" x14ac:dyDescent="0.2">
      <c r="A69" s="2" t="s">
        <v>342</v>
      </c>
      <c r="B69" s="2" t="s">
        <v>373</v>
      </c>
      <c r="C69" s="2" t="s">
        <v>104</v>
      </c>
      <c r="D69" s="2" t="s">
        <v>37</v>
      </c>
      <c r="E69" s="2" t="s">
        <v>65</v>
      </c>
      <c r="F69" s="2" t="s">
        <v>374</v>
      </c>
      <c r="G69" s="2" t="s">
        <v>40</v>
      </c>
      <c r="H69" s="2">
        <v>2</v>
      </c>
      <c r="I69" s="2">
        <v>6</v>
      </c>
      <c r="J69" s="2" t="s">
        <v>41</v>
      </c>
      <c r="K69" s="2" t="s">
        <v>224</v>
      </c>
      <c r="L69" s="2"/>
      <c r="M69" s="2" t="s">
        <v>375</v>
      </c>
      <c r="N69" s="2" t="s">
        <v>226</v>
      </c>
      <c r="O69" s="2"/>
      <c r="P69" s="2" t="s">
        <v>376</v>
      </c>
      <c r="Q69" s="2"/>
      <c r="R69" s="2"/>
      <c r="S69" s="2"/>
      <c r="T69" s="2"/>
      <c r="U69" s="2"/>
      <c r="V69" s="2"/>
      <c r="W69" s="2"/>
      <c r="X69" s="2"/>
      <c r="Y69" s="2" t="s">
        <v>48</v>
      </c>
      <c r="Z69" s="2" t="s">
        <v>57</v>
      </c>
      <c r="AA69" s="2"/>
      <c r="AB69" s="3"/>
      <c r="AC69" s="3"/>
      <c r="AD69" s="2"/>
      <c r="AE69" s="2"/>
    </row>
    <row r="70" spans="1:31" x14ac:dyDescent="0.2">
      <c r="A70" s="4" t="s">
        <v>377</v>
      </c>
      <c r="B70" s="4" t="s">
        <v>378</v>
      </c>
      <c r="C70" s="4" t="s">
        <v>36</v>
      </c>
      <c r="D70" s="4" t="s">
        <v>37</v>
      </c>
      <c r="E70" s="4" t="s">
        <v>65</v>
      </c>
      <c r="F70" s="4" t="s">
        <v>379</v>
      </c>
      <c r="G70" s="4" t="s">
        <v>40</v>
      </c>
      <c r="H70" s="4">
        <v>3</v>
      </c>
      <c r="I70" s="4">
        <v>6</v>
      </c>
      <c r="J70" s="4" t="s">
        <v>187</v>
      </c>
      <c r="K70" s="4" t="s">
        <v>99</v>
      </c>
      <c r="L70" s="4" t="s">
        <v>380</v>
      </c>
      <c r="M70" s="4"/>
      <c r="N70" s="4" t="s">
        <v>123</v>
      </c>
      <c r="O70" s="4" t="s">
        <v>381</v>
      </c>
      <c r="P70" s="4" t="s">
        <v>382</v>
      </c>
      <c r="Q70" s="4" t="s">
        <v>383</v>
      </c>
      <c r="R70" s="4"/>
      <c r="S70" s="4"/>
      <c r="T70" s="4"/>
      <c r="U70" s="4"/>
      <c r="V70" s="4"/>
      <c r="W70" s="4"/>
      <c r="X70" s="4"/>
      <c r="Y70" s="4" t="s">
        <v>48</v>
      </c>
      <c r="Z70" s="4" t="s">
        <v>127</v>
      </c>
      <c r="AA70" s="4"/>
      <c r="AB70" s="5"/>
      <c r="AC70" s="5"/>
      <c r="AD70" s="4"/>
      <c r="AE70" s="4"/>
    </row>
    <row r="71" spans="1:31" x14ac:dyDescent="0.2">
      <c r="A71" s="2" t="s">
        <v>377</v>
      </c>
      <c r="B71" s="2" t="s">
        <v>378</v>
      </c>
      <c r="C71" s="2" t="s">
        <v>36</v>
      </c>
      <c r="D71" s="2" t="s">
        <v>37</v>
      </c>
      <c r="E71" s="2" t="s">
        <v>150</v>
      </c>
      <c r="F71" s="2" t="s">
        <v>384</v>
      </c>
      <c r="G71" s="2" t="s">
        <v>40</v>
      </c>
      <c r="H71" s="2">
        <v>2</v>
      </c>
      <c r="I71" s="2">
        <v>4</v>
      </c>
      <c r="J71" s="2" t="s">
        <v>187</v>
      </c>
      <c r="K71" s="2" t="s">
        <v>99</v>
      </c>
      <c r="L71" s="2"/>
      <c r="M71" s="2" t="s">
        <v>385</v>
      </c>
      <c r="N71" s="2" t="s">
        <v>101</v>
      </c>
      <c r="O71" s="2" t="s">
        <v>386</v>
      </c>
      <c r="P71" s="2" t="s">
        <v>387</v>
      </c>
      <c r="Q71" s="2" t="s">
        <v>388</v>
      </c>
      <c r="R71" s="2"/>
      <c r="S71" s="2"/>
      <c r="T71" s="2"/>
      <c r="U71" s="2"/>
      <c r="V71" s="2"/>
      <c r="W71" s="2"/>
      <c r="X71" s="2"/>
      <c r="Y71" s="2" t="s">
        <v>48</v>
      </c>
      <c r="Z71" s="2"/>
      <c r="AA71" s="2"/>
      <c r="AB71" s="3"/>
      <c r="AC71" s="3"/>
      <c r="AD71" s="2"/>
      <c r="AE71" s="2"/>
    </row>
    <row r="72" spans="1:31" x14ac:dyDescent="0.2">
      <c r="A72" s="4" t="s">
        <v>377</v>
      </c>
      <c r="B72" s="4" t="s">
        <v>389</v>
      </c>
      <c r="C72" s="4" t="s">
        <v>72</v>
      </c>
      <c r="D72" s="4" t="s">
        <v>37</v>
      </c>
      <c r="E72" s="4" t="s">
        <v>65</v>
      </c>
      <c r="F72" s="4" t="s">
        <v>390</v>
      </c>
      <c r="G72" s="4" t="s">
        <v>40</v>
      </c>
      <c r="H72" s="4">
        <v>3</v>
      </c>
      <c r="I72" s="4">
        <v>8</v>
      </c>
      <c r="J72" s="4" t="s">
        <v>41</v>
      </c>
      <c r="K72" s="4" t="s">
        <v>268</v>
      </c>
      <c r="L72" s="4"/>
      <c r="M72" s="4" t="s">
        <v>391</v>
      </c>
      <c r="N72" s="4" t="s">
        <v>392</v>
      </c>
      <c r="O72" s="4" t="s">
        <v>393</v>
      </c>
      <c r="P72" s="4" t="s">
        <v>394</v>
      </c>
      <c r="Q72" s="4" t="s">
        <v>395</v>
      </c>
      <c r="R72" s="4"/>
      <c r="S72" s="4"/>
      <c r="T72" s="4"/>
      <c r="U72" s="4"/>
      <c r="V72" s="4"/>
      <c r="W72" s="4"/>
      <c r="X72" s="4"/>
      <c r="Y72" s="4" t="s">
        <v>48</v>
      </c>
      <c r="Z72" s="4" t="s">
        <v>57</v>
      </c>
      <c r="AA72" s="4"/>
      <c r="AB72" s="5"/>
      <c r="AC72" s="5"/>
      <c r="AD72" s="4"/>
      <c r="AE72" s="4"/>
    </row>
    <row r="73" spans="1:31" x14ac:dyDescent="0.2">
      <c r="A73" s="2" t="s">
        <v>377</v>
      </c>
      <c r="B73" s="2" t="s">
        <v>396</v>
      </c>
      <c r="C73" s="2" t="s">
        <v>84</v>
      </c>
      <c r="D73" s="2" t="s">
        <v>37</v>
      </c>
      <c r="E73" s="2" t="s">
        <v>65</v>
      </c>
      <c r="F73" s="2" t="s">
        <v>397</v>
      </c>
      <c r="G73" s="2" t="s">
        <v>40</v>
      </c>
      <c r="H73" s="2">
        <v>2</v>
      </c>
      <c r="I73" s="2">
        <v>3</v>
      </c>
      <c r="J73" s="2" t="s">
        <v>41</v>
      </c>
      <c r="K73" s="2" t="s">
        <v>167</v>
      </c>
      <c r="L73" s="2"/>
      <c r="M73" s="2" t="s">
        <v>398</v>
      </c>
      <c r="N73" s="2" t="s">
        <v>169</v>
      </c>
      <c r="O73" s="2" t="s">
        <v>399</v>
      </c>
      <c r="P73" s="2" t="s">
        <v>400</v>
      </c>
      <c r="Q73" s="2"/>
      <c r="R73" s="2"/>
      <c r="S73" s="2"/>
      <c r="T73" s="2"/>
      <c r="U73" s="2"/>
      <c r="V73" s="2"/>
      <c r="W73" s="2"/>
      <c r="X73" s="2"/>
      <c r="Y73" s="2" t="s">
        <v>48</v>
      </c>
      <c r="Z73" s="2" t="s">
        <v>57</v>
      </c>
      <c r="AA73" s="2"/>
      <c r="AB73" s="3"/>
      <c r="AC73" s="3"/>
      <c r="AD73" s="2"/>
      <c r="AE73" s="2"/>
    </row>
    <row r="74" spans="1:31" x14ac:dyDescent="0.2">
      <c r="A74" s="4" t="s">
        <v>377</v>
      </c>
      <c r="B74" s="4" t="s">
        <v>401</v>
      </c>
      <c r="C74" s="4" t="s">
        <v>92</v>
      </c>
      <c r="D74" s="4" t="s">
        <v>37</v>
      </c>
      <c r="E74" s="4" t="s">
        <v>65</v>
      </c>
      <c r="F74" s="4" t="s">
        <v>402</v>
      </c>
      <c r="G74" s="4" t="s">
        <v>40</v>
      </c>
      <c r="H74" s="4">
        <v>3</v>
      </c>
      <c r="I74" s="4">
        <v>3</v>
      </c>
      <c r="J74" s="4" t="s">
        <v>187</v>
      </c>
      <c r="K74" s="4" t="s">
        <v>99</v>
      </c>
      <c r="L74" s="4"/>
      <c r="M74" s="4" t="s">
        <v>403</v>
      </c>
      <c r="N74" s="4" t="s">
        <v>101</v>
      </c>
      <c r="O74" s="4" t="s">
        <v>404</v>
      </c>
      <c r="P74" s="4" t="s">
        <v>405</v>
      </c>
      <c r="Q74" s="4" t="s">
        <v>406</v>
      </c>
      <c r="R74" s="4"/>
      <c r="S74" s="4"/>
      <c r="T74" s="4"/>
      <c r="U74" s="4"/>
      <c r="V74" s="4"/>
      <c r="W74" s="4"/>
      <c r="X74" s="4"/>
      <c r="Y74" s="4" t="s">
        <v>48</v>
      </c>
      <c r="Z74" s="4" t="s">
        <v>57</v>
      </c>
      <c r="AA74" s="4"/>
      <c r="AB74" s="5"/>
      <c r="AC74" s="5"/>
      <c r="AD74" s="4"/>
      <c r="AE74" s="4"/>
    </row>
    <row r="75" spans="1:31" x14ac:dyDescent="0.2">
      <c r="A75" s="2" t="s">
        <v>377</v>
      </c>
      <c r="B75" s="2" t="s">
        <v>407</v>
      </c>
      <c r="C75" s="2" t="s">
        <v>104</v>
      </c>
      <c r="D75" s="2" t="s">
        <v>37</v>
      </c>
      <c r="E75" s="2" t="s">
        <v>65</v>
      </c>
      <c r="F75" s="2" t="s">
        <v>408</v>
      </c>
      <c r="G75" s="2" t="s">
        <v>40</v>
      </c>
      <c r="H75" s="2">
        <v>1</v>
      </c>
      <c r="I75" s="2">
        <v>4</v>
      </c>
      <c r="J75" s="2" t="s">
        <v>41</v>
      </c>
      <c r="K75" s="2" t="s">
        <v>212</v>
      </c>
      <c r="L75" s="2"/>
      <c r="M75" s="2" t="s">
        <v>409</v>
      </c>
      <c r="N75" s="2" t="s">
        <v>214</v>
      </c>
      <c r="O75" s="2" t="s">
        <v>410</v>
      </c>
      <c r="P75" s="2" t="s">
        <v>411</v>
      </c>
      <c r="Q75" s="2" t="s">
        <v>412</v>
      </c>
      <c r="R75" s="2"/>
      <c r="S75" s="2"/>
      <c r="T75" s="2"/>
      <c r="U75" s="2"/>
      <c r="V75" s="2"/>
      <c r="W75" s="2"/>
      <c r="X75" s="2"/>
      <c r="Y75" s="2" t="s">
        <v>48</v>
      </c>
      <c r="Z75" s="2"/>
      <c r="AA75" s="2"/>
      <c r="AB75" s="3"/>
      <c r="AC75" s="3"/>
      <c r="AD75" s="2"/>
      <c r="AE75" s="2"/>
    </row>
    <row r="76" spans="1:31" x14ac:dyDescent="0.2">
      <c r="A76" s="4" t="s">
        <v>413</v>
      </c>
      <c r="B76" s="4" t="s">
        <v>414</v>
      </c>
      <c r="C76" s="4" t="s">
        <v>36</v>
      </c>
      <c r="D76" s="4" t="s">
        <v>37</v>
      </c>
      <c r="E76" s="4" t="s">
        <v>65</v>
      </c>
      <c r="F76" s="4" t="s">
        <v>415</v>
      </c>
      <c r="G76" s="4" t="s">
        <v>40</v>
      </c>
      <c r="H76" s="4">
        <v>3</v>
      </c>
      <c r="I76" s="4">
        <v>5</v>
      </c>
      <c r="J76" s="4" t="s">
        <v>41</v>
      </c>
      <c r="K76" s="4" t="s">
        <v>262</v>
      </c>
      <c r="L76" s="4"/>
      <c r="M76" s="4" t="s">
        <v>416</v>
      </c>
      <c r="N76" s="4" t="s">
        <v>264</v>
      </c>
      <c r="O76" s="4"/>
      <c r="P76" s="4" t="s">
        <v>417</v>
      </c>
      <c r="Q76" s="4" t="s">
        <v>418</v>
      </c>
      <c r="R76" s="4"/>
      <c r="S76" s="4"/>
      <c r="T76" s="4"/>
      <c r="U76" s="4"/>
      <c r="V76" s="4"/>
      <c r="W76" s="4"/>
      <c r="X76" s="4"/>
      <c r="Y76" s="4" t="s">
        <v>48</v>
      </c>
      <c r="Z76" s="4" t="s">
        <v>57</v>
      </c>
      <c r="AA76" s="4"/>
      <c r="AB76" s="5"/>
      <c r="AC76" s="5"/>
      <c r="AD76" s="4"/>
      <c r="AE76" s="4"/>
    </row>
    <row r="77" spans="1:31" x14ac:dyDescent="0.2">
      <c r="A77" s="2" t="s">
        <v>413</v>
      </c>
      <c r="B77" s="2" t="s">
        <v>419</v>
      </c>
      <c r="C77" s="2" t="s">
        <v>72</v>
      </c>
      <c r="D77" s="2" t="s">
        <v>37</v>
      </c>
      <c r="E77" s="2" t="s">
        <v>285</v>
      </c>
      <c r="F77" s="2" t="s">
        <v>420</v>
      </c>
      <c r="G77" s="2" t="s">
        <v>40</v>
      </c>
      <c r="H77" s="2">
        <v>2</v>
      </c>
      <c r="I77" s="2">
        <v>8</v>
      </c>
      <c r="J77" s="2" t="s">
        <v>41</v>
      </c>
      <c r="K77" s="2" t="s">
        <v>112</v>
      </c>
      <c r="L77" s="2"/>
      <c r="M77" s="2" t="s">
        <v>421</v>
      </c>
      <c r="N77" s="2" t="s">
        <v>114</v>
      </c>
      <c r="O77" s="2" t="s">
        <v>422</v>
      </c>
      <c r="P77" s="2" t="s">
        <v>423</v>
      </c>
      <c r="Q77" s="2" t="s">
        <v>424</v>
      </c>
      <c r="R77" s="2"/>
      <c r="S77" s="2"/>
      <c r="T77" s="2"/>
      <c r="U77" s="2"/>
      <c r="V77" s="2"/>
      <c r="W77" s="2"/>
      <c r="X77" s="2"/>
      <c r="Y77" s="2" t="s">
        <v>48</v>
      </c>
      <c r="Z77" s="2" t="s">
        <v>57</v>
      </c>
      <c r="AA77" s="2"/>
      <c r="AB77" s="3"/>
      <c r="AC77" s="3"/>
      <c r="AD77" s="2"/>
      <c r="AE77" s="2"/>
    </row>
    <row r="78" spans="1:31" x14ac:dyDescent="0.2">
      <c r="A78" s="4" t="s">
        <v>413</v>
      </c>
      <c r="B78" s="4" t="s">
        <v>419</v>
      </c>
      <c r="C78" s="4" t="s">
        <v>72</v>
      </c>
      <c r="D78" s="4" t="s">
        <v>37</v>
      </c>
      <c r="E78" s="4" t="s">
        <v>65</v>
      </c>
      <c r="F78" s="4" t="s">
        <v>425</v>
      </c>
      <c r="G78" s="4" t="s">
        <v>40</v>
      </c>
      <c r="H78" s="4">
        <v>3</v>
      </c>
      <c r="I78" s="4">
        <v>5</v>
      </c>
      <c r="J78" s="4" t="s">
        <v>41</v>
      </c>
      <c r="K78" s="4" t="s">
        <v>112</v>
      </c>
      <c r="L78" s="4"/>
      <c r="M78" s="4" t="s">
        <v>426</v>
      </c>
      <c r="N78" s="4" t="s">
        <v>114</v>
      </c>
      <c r="O78" s="4" t="s">
        <v>427</v>
      </c>
      <c r="P78" s="4"/>
      <c r="Q78" s="4" t="s">
        <v>428</v>
      </c>
      <c r="R78" s="4"/>
      <c r="S78" s="4"/>
      <c r="T78" s="4"/>
      <c r="U78" s="4"/>
      <c r="V78" s="4"/>
      <c r="W78" s="4"/>
      <c r="X78" s="4"/>
      <c r="Y78" s="4" t="s">
        <v>48</v>
      </c>
      <c r="Z78" s="4" t="s">
        <v>57</v>
      </c>
      <c r="AA78" s="4"/>
      <c r="AB78" s="5"/>
      <c r="AC78" s="5"/>
      <c r="AD78" s="4"/>
      <c r="AE78" s="4"/>
    </row>
    <row r="79" spans="1:31" x14ac:dyDescent="0.2">
      <c r="A79" s="2" t="s">
        <v>413</v>
      </c>
      <c r="B79" s="2" t="s">
        <v>429</v>
      </c>
      <c r="C79" s="2" t="s">
        <v>84</v>
      </c>
      <c r="D79" s="2" t="s">
        <v>37</v>
      </c>
      <c r="E79" s="2" t="s">
        <v>65</v>
      </c>
      <c r="F79" s="2" t="s">
        <v>430</v>
      </c>
      <c r="G79" s="2" t="s">
        <v>140</v>
      </c>
      <c r="H79" s="2">
        <v>1</v>
      </c>
      <c r="I79" s="2">
        <v>3</v>
      </c>
      <c r="J79" s="2" t="s">
        <v>41</v>
      </c>
      <c r="K79" s="2" t="s">
        <v>212</v>
      </c>
      <c r="L79" s="2"/>
      <c r="M79" s="2" t="s">
        <v>431</v>
      </c>
      <c r="N79" s="2" t="s">
        <v>214</v>
      </c>
      <c r="O79" s="2" t="s">
        <v>432</v>
      </c>
      <c r="P79" s="2" t="s">
        <v>433</v>
      </c>
      <c r="Q79" s="2" t="s">
        <v>434</v>
      </c>
      <c r="R79" s="2"/>
      <c r="S79" s="2"/>
      <c r="T79" s="2"/>
      <c r="U79" s="2"/>
      <c r="V79" s="2"/>
      <c r="W79" s="2"/>
      <c r="X79" s="2"/>
      <c r="Y79" s="2" t="s">
        <v>48</v>
      </c>
      <c r="Z79" s="2" t="s">
        <v>57</v>
      </c>
      <c r="AA79" s="2"/>
      <c r="AB79" s="3"/>
      <c r="AC79" s="3"/>
      <c r="AD79" s="2"/>
      <c r="AE79" s="2"/>
    </row>
    <row r="80" spans="1:31" x14ac:dyDescent="0.2">
      <c r="A80" s="4" t="s">
        <v>413</v>
      </c>
      <c r="B80" s="4" t="s">
        <v>435</v>
      </c>
      <c r="C80" s="4" t="s">
        <v>92</v>
      </c>
      <c r="D80" s="4" t="s">
        <v>37</v>
      </c>
      <c r="E80" s="4" t="s">
        <v>65</v>
      </c>
      <c r="F80" s="4" t="s">
        <v>436</v>
      </c>
      <c r="G80" s="4" t="s">
        <v>40</v>
      </c>
      <c r="H80" s="4">
        <v>2</v>
      </c>
      <c r="I80" s="4">
        <v>3</v>
      </c>
      <c r="J80" s="4" t="s">
        <v>41</v>
      </c>
      <c r="K80" s="4" t="s">
        <v>437</v>
      </c>
      <c r="L80" s="4"/>
      <c r="M80" s="4" t="s">
        <v>438</v>
      </c>
      <c r="N80" s="4" t="s">
        <v>439</v>
      </c>
      <c r="O80" s="4" t="s">
        <v>440</v>
      </c>
      <c r="P80" s="4" t="s">
        <v>441</v>
      </c>
      <c r="Q80" s="4" t="s">
        <v>442</v>
      </c>
      <c r="R80" s="4"/>
      <c r="S80" s="4"/>
      <c r="T80" s="4"/>
      <c r="U80" s="4"/>
      <c r="V80" s="4"/>
      <c r="W80" s="4"/>
      <c r="X80" s="4"/>
      <c r="Y80" s="4" t="s">
        <v>48</v>
      </c>
      <c r="Z80" s="4"/>
      <c r="AA80" s="4"/>
      <c r="AB80" s="5"/>
      <c r="AC80" s="5"/>
      <c r="AD80" s="4"/>
      <c r="AE80" s="4"/>
    </row>
    <row r="81" spans="1:31" x14ac:dyDescent="0.2">
      <c r="A81" s="2" t="s">
        <v>443</v>
      </c>
      <c r="B81" s="2" t="s">
        <v>444</v>
      </c>
      <c r="C81" s="2" t="s">
        <v>36</v>
      </c>
      <c r="D81" s="2" t="s">
        <v>37</v>
      </c>
      <c r="E81" s="2" t="s">
        <v>65</v>
      </c>
      <c r="F81" s="2" t="s">
        <v>445</v>
      </c>
      <c r="G81" s="2" t="s">
        <v>40</v>
      </c>
      <c r="H81" s="2">
        <v>2</v>
      </c>
      <c r="I81" s="2">
        <v>4</v>
      </c>
      <c r="J81" s="2" t="s">
        <v>41</v>
      </c>
      <c r="K81" s="2" t="s">
        <v>268</v>
      </c>
      <c r="L81" s="2"/>
      <c r="M81" s="2" t="s">
        <v>446</v>
      </c>
      <c r="N81" s="2" t="s">
        <v>270</v>
      </c>
      <c r="O81" s="2" t="s">
        <v>447</v>
      </c>
      <c r="P81" s="2" t="s">
        <v>448</v>
      </c>
      <c r="Q81" s="2"/>
      <c r="R81" s="2"/>
      <c r="S81" s="2"/>
      <c r="T81" s="2"/>
      <c r="U81" s="2"/>
      <c r="V81" s="2"/>
      <c r="W81" s="2"/>
      <c r="X81" s="2"/>
      <c r="Y81" s="2" t="s">
        <v>48</v>
      </c>
      <c r="Z81" s="2" t="s">
        <v>57</v>
      </c>
      <c r="AA81" s="2"/>
      <c r="AB81" s="3"/>
      <c r="AC81" s="3"/>
      <c r="AD81" s="2"/>
      <c r="AE81" s="2"/>
    </row>
  </sheetData>
  <autoFilter ref="A4:AE81" xr:uid="{00000000-0009-0000-0000-000000000000}"/>
  <mergeCells count="3">
    <mergeCell ref="A1:AE1"/>
    <mergeCell ref="R3:X3"/>
    <mergeCell ref="A2:AE2"/>
  </mergeCells>
  <conditionalFormatting sqref="Y5:Y81">
    <cfRule type="cellIs" dxfId="8" priority="2" operator="equal">
      <formula>"Pendiente"</formula>
    </cfRule>
    <cfRule type="cellIs" dxfId="7" priority="3" operator="equal">
      <formula>"En Progreso"</formula>
    </cfRule>
    <cfRule type="cellIs" dxfId="6" priority="4" operator="equal">
      <formula>"Completado"</formula>
    </cfRule>
    <cfRule type="cellIs" dxfId="5" priority="5" operator="equal">
      <formula>"Reprogramado"</formula>
    </cfRule>
    <cfRule type="cellIs" dxfId="4" priority="6" operator="equal">
      <formula>"Cancelado"</formula>
    </cfRule>
  </conditionalFormatting>
  <dataValidations count="3">
    <dataValidation type="list" allowBlank="1" error="Seleccione un técnico válido" sqref="R5:X81" xr:uid="{00000000-0002-0000-0000-000000000000}">
      <formula1>"Alejandro Herrera,Alexander Herrera,Eddier Aladana,Michel Matos,Alejandro Matos,Esteban Matos,Juan Correa"</formula1>
      <formula2>0</formula2>
    </dataValidation>
    <dataValidation type="list" allowBlank="1" sqref="Y5:Y81" xr:uid="{00000000-0002-0000-0000-000007000000}">
      <formula1>"Pendiente,En Progreso,Completado,Reprogramado,Cancelado"</formula1>
      <formula2>0</formula2>
    </dataValidation>
    <dataValidation type="list" allowBlank="1" sqref="AD5:AD81" xr:uid="{00000000-0002-0000-0000-000008000000}">
      <formula1>"Sí,No,Pendiente"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K5:K81 Q5:Q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L28"/>
  <sheetViews>
    <sheetView zoomScaleNormal="100" workbookViewId="0">
      <selection activeCell="B44" sqref="B44"/>
    </sheetView>
  </sheetViews>
  <sheetFormatPr baseColWidth="10" defaultColWidth="8.6640625" defaultRowHeight="15" x14ac:dyDescent="0.2"/>
  <cols>
    <col min="1" max="1" width="27.83203125" bestFit="1" customWidth="1"/>
    <col min="2" max="2" width="22" bestFit="1" customWidth="1"/>
    <col min="3" max="3" width="25.33203125" bestFit="1" customWidth="1"/>
    <col min="4" max="4" width="14.5" bestFit="1" customWidth="1"/>
    <col min="5" max="5" width="19" bestFit="1" customWidth="1"/>
    <col min="6" max="6" width="18.33203125" bestFit="1" customWidth="1"/>
    <col min="7" max="7" width="7" bestFit="1" customWidth="1"/>
    <col min="8" max="8" width="9.6640625" bestFit="1" customWidth="1"/>
    <col min="9" max="9" width="7.33203125" bestFit="1" customWidth="1"/>
    <col min="10" max="10" width="7.6640625" bestFit="1" customWidth="1"/>
    <col min="11" max="12" width="4.1640625" bestFit="1" customWidth="1"/>
  </cols>
  <sheetData>
    <row r="1" spans="1:12" ht="18" x14ac:dyDescent="0.2">
      <c r="A1" s="18" t="s">
        <v>449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">
      <c r="A2" s="23" t="s">
        <v>450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16" x14ac:dyDescent="0.2">
      <c r="A4" s="6" t="s">
        <v>451</v>
      </c>
    </row>
    <row r="5" spans="1:12" x14ac:dyDescent="0.2">
      <c r="A5" s="1" t="s">
        <v>3</v>
      </c>
      <c r="B5" s="1" t="s">
        <v>452</v>
      </c>
      <c r="C5" s="1" t="s">
        <v>453</v>
      </c>
      <c r="D5" s="1" t="s">
        <v>454</v>
      </c>
      <c r="E5" s="1" t="s">
        <v>455</v>
      </c>
      <c r="F5" s="1" t="s">
        <v>36</v>
      </c>
      <c r="G5" s="1" t="s">
        <v>72</v>
      </c>
      <c r="H5" s="1" t="s">
        <v>84</v>
      </c>
      <c r="I5" s="1" t="s">
        <v>92</v>
      </c>
      <c r="J5" s="1" t="s">
        <v>104</v>
      </c>
      <c r="K5" s="1" t="s">
        <v>187</v>
      </c>
      <c r="L5" s="1" t="s">
        <v>41</v>
      </c>
    </row>
    <row r="6" spans="1:12" ht="28" x14ac:dyDescent="0.2">
      <c r="A6" s="2" t="s">
        <v>34</v>
      </c>
      <c r="B6" s="2" t="s">
        <v>456</v>
      </c>
      <c r="C6" s="2">
        <v>12</v>
      </c>
      <c r="D6" s="2">
        <v>76</v>
      </c>
      <c r="E6" s="2">
        <v>3</v>
      </c>
      <c r="F6" s="2">
        <v>4</v>
      </c>
      <c r="G6" s="2">
        <v>2</v>
      </c>
      <c r="H6" s="2">
        <v>2</v>
      </c>
      <c r="I6" s="2">
        <v>2</v>
      </c>
      <c r="J6" s="2">
        <v>2</v>
      </c>
      <c r="K6" s="2">
        <v>0</v>
      </c>
      <c r="L6" s="2">
        <v>76</v>
      </c>
    </row>
    <row r="7" spans="1:12" ht="28" x14ac:dyDescent="0.2">
      <c r="A7" s="4" t="s">
        <v>109</v>
      </c>
      <c r="B7" s="4" t="s">
        <v>457</v>
      </c>
      <c r="C7" s="4">
        <v>14</v>
      </c>
      <c r="D7" s="4">
        <v>111</v>
      </c>
      <c r="E7" s="4">
        <v>4</v>
      </c>
      <c r="F7" s="4">
        <v>3</v>
      </c>
      <c r="G7" s="4">
        <v>3</v>
      </c>
      <c r="H7" s="4">
        <v>3</v>
      </c>
      <c r="I7" s="4">
        <v>2</v>
      </c>
      <c r="J7" s="4">
        <v>3</v>
      </c>
      <c r="K7" s="4">
        <v>0</v>
      </c>
      <c r="L7" s="4">
        <v>111</v>
      </c>
    </row>
    <row r="8" spans="1:12" ht="28" x14ac:dyDescent="0.2">
      <c r="A8" s="2" t="s">
        <v>184</v>
      </c>
      <c r="B8" s="2" t="s">
        <v>458</v>
      </c>
      <c r="C8" s="2">
        <v>13</v>
      </c>
      <c r="D8" s="2">
        <v>62</v>
      </c>
      <c r="E8" s="2">
        <v>4</v>
      </c>
      <c r="F8" s="2">
        <v>3</v>
      </c>
      <c r="G8" s="2">
        <v>2</v>
      </c>
      <c r="H8" s="2">
        <v>3</v>
      </c>
      <c r="I8" s="2">
        <v>3</v>
      </c>
      <c r="J8" s="2">
        <v>2</v>
      </c>
      <c r="K8" s="2">
        <v>30</v>
      </c>
      <c r="L8" s="2">
        <v>32</v>
      </c>
    </row>
    <row r="9" spans="1:12" ht="28" x14ac:dyDescent="0.2">
      <c r="A9" s="4" t="s">
        <v>252</v>
      </c>
      <c r="B9" s="4" t="s">
        <v>459</v>
      </c>
      <c r="C9" s="4">
        <v>9</v>
      </c>
      <c r="D9" s="4">
        <v>66</v>
      </c>
      <c r="E9" s="4">
        <v>4</v>
      </c>
      <c r="F9" s="4">
        <v>2</v>
      </c>
      <c r="G9" s="4">
        <v>2</v>
      </c>
      <c r="H9" s="4">
        <v>2</v>
      </c>
      <c r="I9" s="4">
        <v>2</v>
      </c>
      <c r="J9" s="4">
        <v>1</v>
      </c>
      <c r="K9" s="4">
        <v>17</v>
      </c>
      <c r="L9" s="4">
        <v>49</v>
      </c>
    </row>
    <row r="10" spans="1:12" ht="28" x14ac:dyDescent="0.2">
      <c r="A10" s="2" t="s">
        <v>296</v>
      </c>
      <c r="B10" s="2" t="s">
        <v>460</v>
      </c>
      <c r="C10" s="2">
        <v>10</v>
      </c>
      <c r="D10" s="2">
        <v>51</v>
      </c>
      <c r="E10" s="2">
        <v>4</v>
      </c>
      <c r="F10" s="2">
        <v>2</v>
      </c>
      <c r="G10" s="2">
        <v>3</v>
      </c>
      <c r="H10" s="2">
        <v>2</v>
      </c>
      <c r="I10" s="2">
        <v>2</v>
      </c>
      <c r="J10" s="2">
        <v>1</v>
      </c>
      <c r="K10" s="2">
        <v>0</v>
      </c>
      <c r="L10" s="2">
        <v>51</v>
      </c>
    </row>
    <row r="11" spans="1:12" ht="28" x14ac:dyDescent="0.2">
      <c r="A11" s="4" t="s">
        <v>342</v>
      </c>
      <c r="B11" s="4" t="s">
        <v>461</v>
      </c>
      <c r="C11" s="4">
        <v>7</v>
      </c>
      <c r="D11" s="4">
        <v>35</v>
      </c>
      <c r="E11" s="4">
        <v>4</v>
      </c>
      <c r="F11" s="4">
        <v>2</v>
      </c>
      <c r="G11" s="4">
        <v>1</v>
      </c>
      <c r="H11" s="4">
        <v>2</v>
      </c>
      <c r="I11" s="4">
        <v>1</v>
      </c>
      <c r="J11" s="4">
        <v>1</v>
      </c>
      <c r="K11" s="4">
        <v>3</v>
      </c>
      <c r="L11" s="4">
        <v>32</v>
      </c>
    </row>
    <row r="12" spans="1:12" ht="28" x14ac:dyDescent="0.2">
      <c r="A12" s="2" t="s">
        <v>377</v>
      </c>
      <c r="B12" s="2" t="s">
        <v>462</v>
      </c>
      <c r="C12" s="2">
        <v>6</v>
      </c>
      <c r="D12" s="2">
        <v>28</v>
      </c>
      <c r="E12" s="2">
        <v>3</v>
      </c>
      <c r="F12" s="2">
        <v>2</v>
      </c>
      <c r="G12" s="2">
        <v>1</v>
      </c>
      <c r="H12" s="2">
        <v>1</v>
      </c>
      <c r="I12" s="2">
        <v>1</v>
      </c>
      <c r="J12" s="2">
        <v>1</v>
      </c>
      <c r="K12" s="2">
        <v>13</v>
      </c>
      <c r="L12" s="2">
        <v>15</v>
      </c>
    </row>
    <row r="13" spans="1:12" ht="28" x14ac:dyDescent="0.2">
      <c r="A13" s="4" t="s">
        <v>413</v>
      </c>
      <c r="B13" s="4" t="s">
        <v>463</v>
      </c>
      <c r="C13" s="4">
        <v>5</v>
      </c>
      <c r="D13" s="4">
        <v>24</v>
      </c>
      <c r="E13" s="4">
        <v>3</v>
      </c>
      <c r="F13" s="4">
        <v>1</v>
      </c>
      <c r="G13" s="4">
        <v>2</v>
      </c>
      <c r="H13" s="4">
        <v>1</v>
      </c>
      <c r="I13" s="4">
        <v>1</v>
      </c>
      <c r="J13" s="4">
        <v>0</v>
      </c>
      <c r="K13" s="4">
        <v>0</v>
      </c>
      <c r="L13" s="4">
        <v>24</v>
      </c>
    </row>
    <row r="14" spans="1:12" ht="28" x14ac:dyDescent="0.2">
      <c r="A14" s="2" t="s">
        <v>443</v>
      </c>
      <c r="B14" s="2" t="s">
        <v>464</v>
      </c>
      <c r="C14" s="2">
        <v>1</v>
      </c>
      <c r="D14" s="2">
        <v>4</v>
      </c>
      <c r="E14" s="2">
        <v>2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4</v>
      </c>
    </row>
    <row r="15" spans="1:12" x14ac:dyDescent="0.2">
      <c r="A15" s="7" t="s">
        <v>465</v>
      </c>
      <c r="C15" s="8">
        <f t="shared" ref="C15:L15" si="0">SUM(C6:C14)</f>
        <v>77</v>
      </c>
      <c r="D15" s="8">
        <f t="shared" si="0"/>
        <v>457</v>
      </c>
      <c r="E15" s="8">
        <f t="shared" si="0"/>
        <v>31</v>
      </c>
      <c r="F15" s="8">
        <f t="shared" si="0"/>
        <v>20</v>
      </c>
      <c r="G15" s="8">
        <f t="shared" si="0"/>
        <v>16</v>
      </c>
      <c r="H15" s="8">
        <f t="shared" si="0"/>
        <v>16</v>
      </c>
      <c r="I15" s="8">
        <f t="shared" si="0"/>
        <v>14</v>
      </c>
      <c r="J15" s="8">
        <f t="shared" si="0"/>
        <v>11</v>
      </c>
      <c r="K15" s="8">
        <f t="shared" si="0"/>
        <v>63</v>
      </c>
      <c r="L15" s="8">
        <f t="shared" si="0"/>
        <v>394</v>
      </c>
    </row>
    <row r="18" spans="1:6" ht="16" x14ac:dyDescent="0.2">
      <c r="A18" s="6" t="s">
        <v>466</v>
      </c>
    </row>
    <row r="19" spans="1:6" x14ac:dyDescent="0.2">
      <c r="A19" s="1" t="s">
        <v>3</v>
      </c>
      <c r="B19" s="1" t="s">
        <v>467</v>
      </c>
      <c r="C19" s="1" t="s">
        <v>468</v>
      </c>
      <c r="D19" s="1" t="s">
        <v>469</v>
      </c>
      <c r="E19" s="1" t="s">
        <v>470</v>
      </c>
      <c r="F19" s="1" t="s">
        <v>471</v>
      </c>
    </row>
    <row r="20" spans="1:6" x14ac:dyDescent="0.2">
      <c r="A20" s="2" t="s">
        <v>34</v>
      </c>
      <c r="B20" s="2">
        <v>76</v>
      </c>
      <c r="C20" s="2">
        <v>67.5</v>
      </c>
      <c r="D20" s="9">
        <f t="shared" ref="D20:D28" si="1">B20/C20</f>
        <v>1.125925925925926</v>
      </c>
      <c r="E20" s="2">
        <f t="shared" ref="E20:E28" si="2">IF(B20&gt;C20,ROUNDUP((B20-C20)/4.5/5*2,0),0)</f>
        <v>1</v>
      </c>
      <c r="F20" s="2">
        <f t="shared" ref="F20:F28" si="3">C20-B20</f>
        <v>-8.5</v>
      </c>
    </row>
    <row r="21" spans="1:6" x14ac:dyDescent="0.2">
      <c r="A21" s="4" t="s">
        <v>109</v>
      </c>
      <c r="B21" s="4">
        <v>111</v>
      </c>
      <c r="C21" s="4">
        <v>67.5</v>
      </c>
      <c r="D21" s="10">
        <f t="shared" si="1"/>
        <v>1.6444444444444444</v>
      </c>
      <c r="E21" s="4">
        <f t="shared" si="2"/>
        <v>4</v>
      </c>
      <c r="F21" s="4">
        <f t="shared" si="3"/>
        <v>-43.5</v>
      </c>
    </row>
    <row r="22" spans="1:6" x14ac:dyDescent="0.2">
      <c r="A22" s="2" t="s">
        <v>184</v>
      </c>
      <c r="B22" s="2">
        <v>62</v>
      </c>
      <c r="C22" s="2">
        <v>67.5</v>
      </c>
      <c r="D22" s="9">
        <f t="shared" si="1"/>
        <v>0.91851851851851851</v>
      </c>
      <c r="E22" s="2">
        <f t="shared" si="2"/>
        <v>0</v>
      </c>
      <c r="F22" s="2">
        <f t="shared" si="3"/>
        <v>5.5</v>
      </c>
    </row>
    <row r="23" spans="1:6" x14ac:dyDescent="0.2">
      <c r="A23" s="4" t="s">
        <v>252</v>
      </c>
      <c r="B23" s="4">
        <v>66</v>
      </c>
      <c r="C23" s="4">
        <v>67.5</v>
      </c>
      <c r="D23" s="10">
        <f t="shared" si="1"/>
        <v>0.97777777777777775</v>
      </c>
      <c r="E23" s="4">
        <f t="shared" si="2"/>
        <v>0</v>
      </c>
      <c r="F23" s="4">
        <f t="shared" si="3"/>
        <v>1.5</v>
      </c>
    </row>
    <row r="24" spans="1:6" x14ac:dyDescent="0.2">
      <c r="A24" s="2" t="s">
        <v>296</v>
      </c>
      <c r="B24" s="2">
        <v>51</v>
      </c>
      <c r="C24" s="2">
        <v>67.5</v>
      </c>
      <c r="D24" s="9">
        <f t="shared" si="1"/>
        <v>0.75555555555555554</v>
      </c>
      <c r="E24" s="2">
        <f t="shared" si="2"/>
        <v>0</v>
      </c>
      <c r="F24" s="2">
        <f t="shared" si="3"/>
        <v>16.5</v>
      </c>
    </row>
    <row r="25" spans="1:6" x14ac:dyDescent="0.2">
      <c r="A25" s="4" t="s">
        <v>342</v>
      </c>
      <c r="B25" s="4">
        <v>35</v>
      </c>
      <c r="C25" s="4">
        <v>67.5</v>
      </c>
      <c r="D25" s="10">
        <f t="shared" si="1"/>
        <v>0.51851851851851849</v>
      </c>
      <c r="E25" s="4">
        <f t="shared" si="2"/>
        <v>0</v>
      </c>
      <c r="F25" s="4">
        <f t="shared" si="3"/>
        <v>32.5</v>
      </c>
    </row>
    <row r="26" spans="1:6" x14ac:dyDescent="0.2">
      <c r="A26" s="2" t="s">
        <v>377</v>
      </c>
      <c r="B26" s="2">
        <v>28</v>
      </c>
      <c r="C26" s="2">
        <v>67.5</v>
      </c>
      <c r="D26" s="9">
        <f t="shared" si="1"/>
        <v>0.4148148148148148</v>
      </c>
      <c r="E26" s="2">
        <f t="shared" si="2"/>
        <v>0</v>
      </c>
      <c r="F26" s="2">
        <f t="shared" si="3"/>
        <v>39.5</v>
      </c>
    </row>
    <row r="27" spans="1:6" x14ac:dyDescent="0.2">
      <c r="A27" s="4" t="s">
        <v>413</v>
      </c>
      <c r="B27" s="4">
        <v>24</v>
      </c>
      <c r="C27" s="4">
        <v>67.5</v>
      </c>
      <c r="D27" s="10">
        <f t="shared" si="1"/>
        <v>0.35555555555555557</v>
      </c>
      <c r="E27" s="4">
        <f t="shared" si="2"/>
        <v>0</v>
      </c>
      <c r="F27" s="4">
        <f t="shared" si="3"/>
        <v>43.5</v>
      </c>
    </row>
    <row r="28" spans="1:6" x14ac:dyDescent="0.2">
      <c r="A28" s="2" t="s">
        <v>443</v>
      </c>
      <c r="B28" s="2">
        <v>4</v>
      </c>
      <c r="C28" s="2">
        <v>67.5</v>
      </c>
      <c r="D28" s="9">
        <f t="shared" si="1"/>
        <v>5.9259259259259262E-2</v>
      </c>
      <c r="E28" s="2">
        <f t="shared" si="2"/>
        <v>0</v>
      </c>
      <c r="F28" s="2">
        <f t="shared" si="3"/>
        <v>63.5</v>
      </c>
    </row>
  </sheetData>
  <mergeCells count="2">
    <mergeCell ref="A2:L2"/>
    <mergeCell ref="A1:L1"/>
  </mergeCells>
  <conditionalFormatting sqref="D20:D28">
    <cfRule type="cellIs" dxfId="3" priority="2" operator="greaterThan">
      <formula>1</formula>
    </cfRule>
    <cfRule type="cellIs" dxfId="2" priority="3" operator="between">
      <formula>0.7</formula>
      <formula>1</formula>
    </cfRule>
    <cfRule type="cellIs" dxfId="1" priority="4" operator="lessThan">
      <formula>0.7</formula>
    </cfRule>
  </conditionalFormatting>
  <conditionalFormatting sqref="F20:F28">
    <cfRule type="cellIs" dxfId="0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8A745"/>
  </sheetPr>
  <dimension ref="A1:J24"/>
  <sheetViews>
    <sheetView zoomScaleNormal="100" workbookViewId="0">
      <selection activeCell="A12" sqref="A12"/>
    </sheetView>
  </sheetViews>
  <sheetFormatPr baseColWidth="10" defaultColWidth="8.6640625" defaultRowHeight="15" x14ac:dyDescent="0.2"/>
  <cols>
    <col min="1" max="1" width="34" bestFit="1" customWidth="1"/>
    <col min="2" max="2" width="15.5" bestFit="1" customWidth="1"/>
    <col min="3" max="3" width="11" bestFit="1" customWidth="1"/>
    <col min="4" max="4" width="12" bestFit="1" customWidth="1"/>
    <col min="5" max="5" width="12.83203125" bestFit="1" customWidth="1"/>
    <col min="6" max="6" width="16.6640625" bestFit="1" customWidth="1"/>
    <col min="7" max="7" width="14.1640625" bestFit="1" customWidth="1"/>
    <col min="8" max="10" width="4.33203125" bestFit="1" customWidth="1"/>
  </cols>
  <sheetData>
    <row r="1" spans="1:8" ht="18" x14ac:dyDescent="0.2">
      <c r="A1" s="18" t="s">
        <v>472</v>
      </c>
      <c r="B1" s="19"/>
      <c r="C1" s="19"/>
      <c r="D1" s="19"/>
      <c r="E1" s="19"/>
      <c r="F1" s="19"/>
      <c r="G1" s="19"/>
      <c r="H1" s="19"/>
    </row>
    <row r="3" spans="1:8" x14ac:dyDescent="0.2">
      <c r="A3" s="24" t="s">
        <v>473</v>
      </c>
      <c r="B3" s="19"/>
      <c r="C3" s="19"/>
      <c r="D3" s="19"/>
      <c r="E3" s="19"/>
      <c r="F3" s="19"/>
      <c r="G3" s="19"/>
      <c r="H3" s="19"/>
    </row>
    <row r="5" spans="1:8" x14ac:dyDescent="0.2">
      <c r="A5" s="1" t="s">
        <v>474</v>
      </c>
      <c r="B5" s="1" t="s">
        <v>475</v>
      </c>
      <c r="C5" s="1" t="s">
        <v>476</v>
      </c>
      <c r="D5" s="1" t="s">
        <v>477</v>
      </c>
      <c r="E5" s="1" t="s">
        <v>478</v>
      </c>
      <c r="F5" s="1" t="s">
        <v>479</v>
      </c>
      <c r="G5" s="1" t="s">
        <v>480</v>
      </c>
    </row>
    <row r="6" spans="1:8" x14ac:dyDescent="0.2">
      <c r="A6" s="2" t="s">
        <v>481</v>
      </c>
      <c r="B6" s="2">
        <f>COUNTIF(Citas!R:R,A6)+COUNTIF(Citas!S:S,A6)+COUNTIF(Citas!T:T,A6)+COUNTIF(Citas!U:U,A6)+COUNTIF(Citas!V:V,A6)+COUNTIF(Citas!W:W,A6)+COUNTIF(Citas!X:X,A6)</f>
        <v>0</v>
      </c>
      <c r="C6" s="2">
        <f>COUNTIFS(Citas!R:R,A6,Citas!Y:Y,"Pendiente")+COUNTIFS(Citas!S:S,A6,Citas!Y:Y,"Pendiente")+COUNTIFS(Citas!T:T,A6,Citas!Y:Y,"Pendiente")+COUNTIFS(Citas!U:U,A6,Citas!Y:Y,"Pendiente")+COUNTIFS(Citas!V:V,A6,Citas!Y:Y,"Pendiente")+COUNTIFS(Citas!W:W,A6,Citas!Y:Y,"Pendiente")+COUNTIFS(Citas!X:X,A6,Citas!Y:Y,"Pendiente")</f>
        <v>0</v>
      </c>
      <c r="D6" s="2">
        <f>COUNTIFS(Citas!R:R,A6,Citas!Y:Y,"En Progreso")+COUNTIFS(Citas!S:S,A6,Citas!Y:Y,"En Progreso")+COUNTIFS(Citas!T:T,A6,Citas!Y:Y,"En Progreso")+COUNTIFS(Citas!U:U,A6,Citas!Y:Y,"En Progreso")+COUNTIFS(Citas!V:V,A6,Citas!Y:Y,"En Progreso")+COUNTIFS(Citas!W:W,A6,Citas!Y:Y,"En Progreso")+COUNTIFS(Citas!X:X,A6,Citas!Y:Y,"En Progreso")</f>
        <v>0</v>
      </c>
      <c r="E6" s="2">
        <f>COUNTIFS(Citas!R:R,A6,Citas!Y:Y,"Completado")+COUNTIFS(Citas!S:S,A6,Citas!Y:Y,"Completado")+COUNTIFS(Citas!T:T,A6,Citas!Y:Y,"Completado")+COUNTIFS(Citas!U:U,A6,Citas!Y:Y,"Completado")+COUNTIFS(Citas!V:V,A6,Citas!Y:Y,"Completado")+COUNTIFS(Citas!W:W,A6,Citas!Y:Y,"Completado")+COUNTIFS(Citas!X:X,A6,Citas!Y:Y,"Completado")</f>
        <v>0</v>
      </c>
      <c r="F6" s="2">
        <f>SUMPRODUCT((Citas!R$5:R$81=A6)*Citas!I$5:I$81)+SUMPRODUCT((Citas!S$5:S$81=A6)*Citas!I$5:I$81)+SUMPRODUCT((Citas!T$5:T$81=A6)*Citas!I$5:I$81)+SUMPRODUCT((Citas!U$5:U$81=A6)*Citas!I$5:I$81)+SUMPRODUCT((Citas!V$5:V$81=A6)*Citas!I$5:I$81)+SUMPRODUCT((Citas!W$5:W$81=A6)*Citas!I$5:I$81)+SUMPRODUCT((Citas!X$5:X$81=A6)*Citas!I$5:I$81)</f>
        <v>0</v>
      </c>
      <c r="G6" s="9">
        <f t="shared" ref="G6:G13" si="0">IF(B6&gt;0,E6/B6,0)</f>
        <v>0</v>
      </c>
    </row>
    <row r="7" spans="1:8" x14ac:dyDescent="0.2">
      <c r="A7" s="4" t="s">
        <v>482</v>
      </c>
      <c r="B7" s="4">
        <f>COUNTIF(Citas!R:R,A7)+COUNTIF(Citas!S:S,A7)+COUNTIF(Citas!T:T,A7)+COUNTIF(Citas!U:U,A7)+COUNTIF(Citas!V:V,A7)+COUNTIF(Citas!W:W,A7)+COUNTIF(Citas!X:X,A7)</f>
        <v>0</v>
      </c>
      <c r="C7" s="4">
        <f>COUNTIFS(Citas!R:R,A7,Citas!Y:Y,"Pendiente")+COUNTIFS(Citas!S:S,A7,Citas!Y:Y,"Pendiente")+COUNTIFS(Citas!T:T,A7,Citas!Y:Y,"Pendiente")+COUNTIFS(Citas!U:U,A7,Citas!Y:Y,"Pendiente")+COUNTIFS(Citas!V:V,A7,Citas!Y:Y,"Pendiente")+COUNTIFS(Citas!W:W,A7,Citas!Y:Y,"Pendiente")+COUNTIFS(Citas!X:X,A7,Citas!Y:Y,"Pendiente")</f>
        <v>0</v>
      </c>
      <c r="D7" s="4">
        <f>COUNTIFS(Citas!R:R,A7,Citas!Y:Y,"En Progreso")+COUNTIFS(Citas!S:S,A7,Citas!Y:Y,"En Progreso")+COUNTIFS(Citas!T:T,A7,Citas!Y:Y,"En Progreso")+COUNTIFS(Citas!U:U,A7,Citas!Y:Y,"En Progreso")+COUNTIFS(Citas!V:V,A7,Citas!Y:Y,"En Progreso")+COUNTIFS(Citas!W:W,A7,Citas!Y:Y,"En Progreso")+COUNTIFS(Citas!X:X,A7,Citas!Y:Y,"En Progreso")</f>
        <v>0</v>
      </c>
      <c r="E7" s="4">
        <f>COUNTIFS(Citas!R:R,A7,Citas!Y:Y,"Completado")+COUNTIFS(Citas!S:S,A7,Citas!Y:Y,"Completado")+COUNTIFS(Citas!T:T,A7,Citas!Y:Y,"Completado")+COUNTIFS(Citas!U:U,A7,Citas!Y:Y,"Completado")+COUNTIFS(Citas!V:V,A7,Citas!Y:Y,"Completado")+COUNTIFS(Citas!W:W,A7,Citas!Y:Y,"Completado")+COUNTIFS(Citas!X:X,A7,Citas!Y:Y,"Completado")</f>
        <v>0</v>
      </c>
      <c r="F7" s="4">
        <f>SUMPRODUCT((Citas!R$5:R$81=A7)*Citas!I$5:I$81)+SUMPRODUCT((Citas!S$5:S$81=A7)*Citas!I$5:I$81)+SUMPRODUCT((Citas!T$5:T$81=A7)*Citas!I$5:I$81)+SUMPRODUCT((Citas!U$5:U$81=A7)*Citas!I$5:I$81)+SUMPRODUCT((Citas!V$5:V$81=A7)*Citas!I$5:I$81)+SUMPRODUCT((Citas!W$5:W$81=A7)*Citas!I$5:I$81)+SUMPRODUCT((Citas!X$5:X$81=A7)*Citas!I$5:I$81)</f>
        <v>0</v>
      </c>
      <c r="G7" s="10">
        <f t="shared" si="0"/>
        <v>0</v>
      </c>
    </row>
    <row r="8" spans="1:8" x14ac:dyDescent="0.2">
      <c r="A8" s="2" t="s">
        <v>483</v>
      </c>
      <c r="B8" s="2">
        <f>COUNTIF(Citas!R:R,A8)+COUNTIF(Citas!S:S,A8)+COUNTIF(Citas!T:T,A8)+COUNTIF(Citas!U:U,A8)+COUNTIF(Citas!V:V,A8)+COUNTIF(Citas!W:W,A8)+COUNTIF(Citas!X:X,A8)</f>
        <v>0</v>
      </c>
      <c r="C8" s="2">
        <f>COUNTIFS(Citas!R:R,A8,Citas!Y:Y,"Pendiente")+COUNTIFS(Citas!S:S,A8,Citas!Y:Y,"Pendiente")+COUNTIFS(Citas!T:T,A8,Citas!Y:Y,"Pendiente")+COUNTIFS(Citas!U:U,A8,Citas!Y:Y,"Pendiente")+COUNTIFS(Citas!V:V,A8,Citas!Y:Y,"Pendiente")+COUNTIFS(Citas!W:W,A8,Citas!Y:Y,"Pendiente")+COUNTIFS(Citas!X:X,A8,Citas!Y:Y,"Pendiente")</f>
        <v>0</v>
      </c>
      <c r="D8" s="2">
        <f>COUNTIFS(Citas!R:R,A8,Citas!Y:Y,"En Progreso")+COUNTIFS(Citas!S:S,A8,Citas!Y:Y,"En Progreso")+COUNTIFS(Citas!T:T,A8,Citas!Y:Y,"En Progreso")+COUNTIFS(Citas!U:U,A8,Citas!Y:Y,"En Progreso")+COUNTIFS(Citas!V:V,A8,Citas!Y:Y,"En Progreso")+COUNTIFS(Citas!W:W,A8,Citas!Y:Y,"En Progreso")+COUNTIFS(Citas!X:X,A8,Citas!Y:Y,"En Progreso")</f>
        <v>0</v>
      </c>
      <c r="E8" s="2">
        <f>COUNTIFS(Citas!R:R,A8,Citas!Y:Y,"Completado")+COUNTIFS(Citas!S:S,A8,Citas!Y:Y,"Completado")+COUNTIFS(Citas!T:T,A8,Citas!Y:Y,"Completado")+COUNTIFS(Citas!U:U,A8,Citas!Y:Y,"Completado")+COUNTIFS(Citas!V:V,A8,Citas!Y:Y,"Completado")+COUNTIFS(Citas!W:W,A8,Citas!Y:Y,"Completado")+COUNTIFS(Citas!X:X,A8,Citas!Y:Y,"Completado")</f>
        <v>0</v>
      </c>
      <c r="F8" s="2">
        <f>SUMPRODUCT((Citas!R$5:R$81=A8)*Citas!I$5:I$81)+SUMPRODUCT((Citas!S$5:S$81=A8)*Citas!I$5:I$81)+SUMPRODUCT((Citas!T$5:T$81=A8)*Citas!I$5:I$81)+SUMPRODUCT((Citas!U$5:U$81=A8)*Citas!I$5:I$81)+SUMPRODUCT((Citas!V$5:V$81=A8)*Citas!I$5:I$81)+SUMPRODUCT((Citas!W$5:W$81=A8)*Citas!I$5:I$81)+SUMPRODUCT((Citas!X$5:X$81=A8)*Citas!I$5:I$81)</f>
        <v>0</v>
      </c>
      <c r="G8" s="9">
        <f t="shared" si="0"/>
        <v>0</v>
      </c>
    </row>
    <row r="9" spans="1:8" x14ac:dyDescent="0.2">
      <c r="A9" s="27" t="s">
        <v>543</v>
      </c>
      <c r="B9" s="4">
        <f>COUNTIF(Citas!R:R,A9)+COUNTIF(Citas!S:S,A9)+COUNTIF(Citas!T:T,A9)+COUNTIF(Citas!U:U,A9)+COUNTIF(Citas!V:V,A9)+COUNTIF(Citas!W:W,A9)+COUNTIF(Citas!X:X,A9)</f>
        <v>0</v>
      </c>
      <c r="C9" s="4">
        <f>COUNTIFS(Citas!R:R,A9,Citas!Y:Y,"Pendiente")+COUNTIFS(Citas!S:S,A9,Citas!Y:Y,"Pendiente")+COUNTIFS(Citas!T:T,A9,Citas!Y:Y,"Pendiente")+COUNTIFS(Citas!U:U,A9,Citas!Y:Y,"Pendiente")+COUNTIFS(Citas!V:V,A9,Citas!Y:Y,"Pendiente")+COUNTIFS(Citas!W:W,A9,Citas!Y:Y,"Pendiente")+COUNTIFS(Citas!X:X,A9,Citas!Y:Y,"Pendiente")</f>
        <v>0</v>
      </c>
      <c r="D9" s="4">
        <f>COUNTIFS(Citas!R:R,A9,Citas!Y:Y,"En Progreso")+COUNTIFS(Citas!S:S,A9,Citas!Y:Y,"En Progreso")+COUNTIFS(Citas!T:T,A9,Citas!Y:Y,"En Progreso")+COUNTIFS(Citas!U:U,A9,Citas!Y:Y,"En Progreso")+COUNTIFS(Citas!V:V,A9,Citas!Y:Y,"En Progreso")+COUNTIFS(Citas!W:W,A9,Citas!Y:Y,"En Progreso")+COUNTIFS(Citas!X:X,A9,Citas!Y:Y,"En Progreso")</f>
        <v>0</v>
      </c>
      <c r="E9" s="4">
        <f>COUNTIFS(Citas!R:R,A9,Citas!Y:Y,"Completado")+COUNTIFS(Citas!S:S,A9,Citas!Y:Y,"Completado")+COUNTIFS(Citas!T:T,A9,Citas!Y:Y,"Completado")+COUNTIFS(Citas!U:U,A9,Citas!Y:Y,"Completado")+COUNTIFS(Citas!V:V,A9,Citas!Y:Y,"Completado")+COUNTIFS(Citas!W:W,A9,Citas!Y:Y,"Completado")+COUNTIFS(Citas!X:X,A9,Citas!Y:Y,"Completado")</f>
        <v>0</v>
      </c>
      <c r="F9" s="4">
        <f>SUMPRODUCT((Citas!R$5:R$81=A9)*Citas!I$5:I$81)+SUMPRODUCT((Citas!S$5:S$81=A9)*Citas!I$5:I$81)+SUMPRODUCT((Citas!T$5:T$81=A9)*Citas!I$5:I$81)+SUMPRODUCT((Citas!U$5:U$81=A9)*Citas!I$5:I$81)+SUMPRODUCT((Citas!V$5:V$81=A9)*Citas!I$5:I$81)+SUMPRODUCT((Citas!W$5:W$81=A9)*Citas!I$5:I$81)+SUMPRODUCT((Citas!X$5:X$81=A9)*Citas!I$5:I$81)</f>
        <v>0</v>
      </c>
      <c r="G9" s="10">
        <f t="shared" si="0"/>
        <v>0</v>
      </c>
    </row>
    <row r="10" spans="1:8" x14ac:dyDescent="0.2">
      <c r="A10" s="28" t="s">
        <v>544</v>
      </c>
      <c r="B10" s="2">
        <f>COUNTIF(Citas!R:R,A10)+COUNTIF(Citas!S:S,A10)+COUNTIF(Citas!T:T,A10)+COUNTIF(Citas!U:U,A10)+COUNTIF(Citas!V:V,A10)+COUNTIF(Citas!W:W,A10)+COUNTIF(Citas!X:X,A10)</f>
        <v>0</v>
      </c>
      <c r="C10" s="2">
        <f>COUNTIFS(Citas!R:R,A10,Citas!Y:Y,"Pendiente")+COUNTIFS(Citas!S:S,A10,Citas!Y:Y,"Pendiente")+COUNTIFS(Citas!T:T,A10,Citas!Y:Y,"Pendiente")+COUNTIFS(Citas!U:U,A10,Citas!Y:Y,"Pendiente")+COUNTIFS(Citas!V:V,A10,Citas!Y:Y,"Pendiente")+COUNTIFS(Citas!W:W,A10,Citas!Y:Y,"Pendiente")+COUNTIFS(Citas!X:X,A10,Citas!Y:Y,"Pendiente")</f>
        <v>0</v>
      </c>
      <c r="D10" s="2">
        <f>COUNTIFS(Citas!R:R,A10,Citas!Y:Y,"En Progreso")+COUNTIFS(Citas!S:S,A10,Citas!Y:Y,"En Progreso")+COUNTIFS(Citas!T:T,A10,Citas!Y:Y,"En Progreso")+COUNTIFS(Citas!U:U,A10,Citas!Y:Y,"En Progreso")+COUNTIFS(Citas!V:V,A10,Citas!Y:Y,"En Progreso")+COUNTIFS(Citas!W:W,A10,Citas!Y:Y,"En Progreso")+COUNTIFS(Citas!X:X,A10,Citas!Y:Y,"En Progreso")</f>
        <v>0</v>
      </c>
      <c r="E10" s="2">
        <f>COUNTIFS(Citas!R:R,A10,Citas!Y:Y,"Completado")+COUNTIFS(Citas!S:S,A10,Citas!Y:Y,"Completado")+COUNTIFS(Citas!T:T,A10,Citas!Y:Y,"Completado")+COUNTIFS(Citas!U:U,A10,Citas!Y:Y,"Completado")+COUNTIFS(Citas!V:V,A10,Citas!Y:Y,"Completado")+COUNTIFS(Citas!W:W,A10,Citas!Y:Y,"Completado")+COUNTIFS(Citas!X:X,A10,Citas!Y:Y,"Completado")</f>
        <v>0</v>
      </c>
      <c r="F10" s="2">
        <f>SUMPRODUCT((Citas!R$5:R$81=A10)*Citas!I$5:I$81)+SUMPRODUCT((Citas!S$5:S$81=A10)*Citas!I$5:I$81)+SUMPRODUCT((Citas!T$5:T$81=A10)*Citas!I$5:I$81)+SUMPRODUCT((Citas!U$5:U$81=A10)*Citas!I$5:I$81)+SUMPRODUCT((Citas!V$5:V$81=A10)*Citas!I$5:I$81)+SUMPRODUCT((Citas!W$5:W$81=A10)*Citas!I$5:I$81)+SUMPRODUCT((Citas!X$5:X$81=A10)*Citas!I$5:I$81)</f>
        <v>0</v>
      </c>
      <c r="G10" s="9">
        <f t="shared" si="0"/>
        <v>0</v>
      </c>
    </row>
    <row r="11" spans="1:8" x14ac:dyDescent="0.2">
      <c r="A11" s="27" t="s">
        <v>545</v>
      </c>
      <c r="B11" s="4">
        <f>COUNTIF(Citas!R:R,A11)+COUNTIF(Citas!S:S,A11)+COUNTIF(Citas!T:T,A11)+COUNTIF(Citas!U:U,A11)+COUNTIF(Citas!V:V,A11)+COUNTIF(Citas!W:W,A11)+COUNTIF(Citas!X:X,A11)</f>
        <v>0</v>
      </c>
      <c r="C11" s="4">
        <f>COUNTIFS(Citas!R:R,A11,Citas!Y:Y,"Pendiente")+COUNTIFS(Citas!S:S,A11,Citas!Y:Y,"Pendiente")+COUNTIFS(Citas!T:T,A11,Citas!Y:Y,"Pendiente")+COUNTIFS(Citas!U:U,A11,Citas!Y:Y,"Pendiente")+COUNTIFS(Citas!V:V,A11,Citas!Y:Y,"Pendiente")+COUNTIFS(Citas!W:W,A11,Citas!Y:Y,"Pendiente")+COUNTIFS(Citas!X:X,A11,Citas!Y:Y,"Pendiente")</f>
        <v>0</v>
      </c>
      <c r="D11" s="4">
        <f>COUNTIFS(Citas!R:R,A11,Citas!Y:Y,"En Progreso")+COUNTIFS(Citas!S:S,A11,Citas!Y:Y,"En Progreso")+COUNTIFS(Citas!T:T,A11,Citas!Y:Y,"En Progreso")+COUNTIFS(Citas!U:U,A11,Citas!Y:Y,"En Progreso")+COUNTIFS(Citas!V:V,A11,Citas!Y:Y,"En Progreso")+COUNTIFS(Citas!W:W,A11,Citas!Y:Y,"En Progreso")+COUNTIFS(Citas!X:X,A11,Citas!Y:Y,"En Progreso")</f>
        <v>0</v>
      </c>
      <c r="E11" s="4">
        <f>COUNTIFS(Citas!R:R,A11,Citas!Y:Y,"Completado")+COUNTIFS(Citas!S:S,A11,Citas!Y:Y,"Completado")+COUNTIFS(Citas!T:T,A11,Citas!Y:Y,"Completado")+COUNTIFS(Citas!U:U,A11,Citas!Y:Y,"Completado")+COUNTIFS(Citas!V:V,A11,Citas!Y:Y,"Completado")+COUNTIFS(Citas!W:W,A11,Citas!Y:Y,"Completado")+COUNTIFS(Citas!X:X,A11,Citas!Y:Y,"Completado")</f>
        <v>0</v>
      </c>
      <c r="F11" s="4">
        <f>SUMPRODUCT((Citas!R$5:R$81=A11)*Citas!I$5:I$81)+SUMPRODUCT((Citas!S$5:S$81=A11)*Citas!I$5:I$81)+SUMPRODUCT((Citas!T$5:T$81=A11)*Citas!I$5:I$81)+SUMPRODUCT((Citas!U$5:U$81=A11)*Citas!I$5:I$81)+SUMPRODUCT((Citas!V$5:V$81=A11)*Citas!I$5:I$81)+SUMPRODUCT((Citas!W$5:W$81=A11)*Citas!I$5:I$81)+SUMPRODUCT((Citas!X$5:X$81=A11)*Citas!I$5:I$81)</f>
        <v>0</v>
      </c>
      <c r="G11" s="10">
        <f t="shared" si="0"/>
        <v>0</v>
      </c>
    </row>
    <row r="12" spans="1:8" x14ac:dyDescent="0.2">
      <c r="A12" s="2" t="s">
        <v>487</v>
      </c>
      <c r="B12" s="2">
        <f>COUNTIF(Citas!R:R,A12)+COUNTIF(Citas!S:S,A12)+COUNTIF(Citas!T:T,A12)+COUNTIF(Citas!U:U,A12)+COUNTIF(Citas!V:V,A12)+COUNTIF(Citas!W:W,A12)+COUNTIF(Citas!X:X,A12)</f>
        <v>0</v>
      </c>
      <c r="C12" s="2">
        <f>COUNTIFS(Citas!R:R,A12,Citas!Y:Y,"Pendiente")+COUNTIFS(Citas!S:S,A12,Citas!Y:Y,"Pendiente")+COUNTIFS(Citas!T:T,A12,Citas!Y:Y,"Pendiente")+COUNTIFS(Citas!U:U,A12,Citas!Y:Y,"Pendiente")+COUNTIFS(Citas!V:V,A12,Citas!Y:Y,"Pendiente")+COUNTIFS(Citas!W:W,A12,Citas!Y:Y,"Pendiente")+COUNTIFS(Citas!X:X,A12,Citas!Y:Y,"Pendiente")</f>
        <v>0</v>
      </c>
      <c r="D12" s="2">
        <f>COUNTIFS(Citas!R:R,A12,Citas!Y:Y,"En Progreso")+COUNTIFS(Citas!S:S,A12,Citas!Y:Y,"En Progreso")+COUNTIFS(Citas!T:T,A12,Citas!Y:Y,"En Progreso")+COUNTIFS(Citas!U:U,A12,Citas!Y:Y,"En Progreso")+COUNTIFS(Citas!V:V,A12,Citas!Y:Y,"En Progreso")+COUNTIFS(Citas!W:W,A12,Citas!Y:Y,"En Progreso")+COUNTIFS(Citas!X:X,A12,Citas!Y:Y,"En Progreso")</f>
        <v>0</v>
      </c>
      <c r="E12" s="2">
        <f>COUNTIFS(Citas!R:R,A12,Citas!Y:Y,"Completado")+COUNTIFS(Citas!S:S,A12,Citas!Y:Y,"Completado")+COUNTIFS(Citas!T:T,A12,Citas!Y:Y,"Completado")+COUNTIFS(Citas!U:U,A12,Citas!Y:Y,"Completado")+COUNTIFS(Citas!V:V,A12,Citas!Y:Y,"Completado")+COUNTIFS(Citas!W:W,A12,Citas!Y:Y,"Completado")+COUNTIFS(Citas!X:X,A12,Citas!Y:Y,"Completado")</f>
        <v>0</v>
      </c>
      <c r="F12" s="2">
        <f>SUMPRODUCT((Citas!R$5:R$81=A12)*Citas!I$5:I$81)+SUMPRODUCT((Citas!S$5:S$81=A12)*Citas!I$5:I$81)+SUMPRODUCT((Citas!T$5:T$81=A12)*Citas!I$5:I$81)+SUMPRODUCT((Citas!U$5:U$81=A12)*Citas!I$5:I$81)+SUMPRODUCT((Citas!V$5:V$81=A12)*Citas!I$5:I$81)+SUMPRODUCT((Citas!W$5:W$81=A12)*Citas!I$5:I$81)+SUMPRODUCT((Citas!X$5:X$81=A12)*Citas!I$5:I$81)</f>
        <v>0</v>
      </c>
      <c r="G12" s="9">
        <f t="shared" si="0"/>
        <v>0</v>
      </c>
    </row>
    <row r="13" spans="1:8" x14ac:dyDescent="0.2">
      <c r="A13" s="7" t="s">
        <v>465</v>
      </c>
      <c r="B13" s="8">
        <f>SUM(B6:B12)</f>
        <v>0</v>
      </c>
      <c r="C13" s="8">
        <f>SUM(C6:C12)</f>
        <v>0</v>
      </c>
      <c r="D13" s="8">
        <f>SUM(D6:D12)</f>
        <v>0</v>
      </c>
      <c r="E13" s="8">
        <f>SUM(E6:E12)</f>
        <v>0</v>
      </c>
      <c r="F13" s="8">
        <f>SUM(F6:F12)</f>
        <v>0</v>
      </c>
      <c r="G13" s="11">
        <f t="shared" si="0"/>
        <v>0</v>
      </c>
    </row>
    <row r="16" spans="1:8" ht="16" x14ac:dyDescent="0.2">
      <c r="A16" s="6" t="s">
        <v>488</v>
      </c>
    </row>
    <row r="17" spans="1:10" x14ac:dyDescent="0.2">
      <c r="A17" s="1" t="s">
        <v>474</v>
      </c>
      <c r="B17" s="1" t="s">
        <v>34</v>
      </c>
      <c r="C17" s="1" t="s">
        <v>109</v>
      </c>
      <c r="D17" s="1" t="s">
        <v>184</v>
      </c>
      <c r="E17" s="1" t="s">
        <v>252</v>
      </c>
      <c r="F17" s="1" t="s">
        <v>296</v>
      </c>
      <c r="G17" s="1" t="s">
        <v>342</v>
      </c>
      <c r="H17" s="1" t="s">
        <v>377</v>
      </c>
      <c r="I17" s="1" t="s">
        <v>413</v>
      </c>
      <c r="J17" s="1" t="s">
        <v>443</v>
      </c>
    </row>
    <row r="18" spans="1:10" x14ac:dyDescent="0.2">
      <c r="A18" s="2" t="s">
        <v>481</v>
      </c>
      <c r="B18" s="2">
        <f>COUNTIFS(Citas!R:R,$A18,Citas!A:A,"S07")+COUNTIFS(Citas!S:S,$A18,Citas!A:A,"S07")+COUNTIFS(Citas!T:T,$A18,Citas!A:A,"S07")+COUNTIFS(Citas!U:U,$A18,Citas!A:A,"S07")+COUNTIFS(Citas!V:V,$A18,Citas!A:A,"S07")+COUNTIFS(Citas!W:W,$A18,Citas!A:A,"S07")+COUNTIFS(Citas!X:X,$A18,Citas!A:A,"S07")</f>
        <v>0</v>
      </c>
      <c r="C18" s="2">
        <f>COUNTIFS(Citas!R:R,$A18,Citas!A:A,"S08")+COUNTIFS(Citas!S:S,$A18,Citas!A:A,"S08")+COUNTIFS(Citas!T:T,$A18,Citas!A:A,"S08")+COUNTIFS(Citas!U:U,$A18,Citas!A:A,"S08")+COUNTIFS(Citas!V:V,$A18,Citas!A:A,"S08")+COUNTIFS(Citas!W:W,$A18,Citas!A:A,"S08")+COUNTIFS(Citas!X:X,$A18,Citas!A:A,"S08")</f>
        <v>0</v>
      </c>
      <c r="D18" s="2">
        <f>COUNTIFS(Citas!R:R,$A18,Citas!A:A,"S09")+COUNTIFS(Citas!S:S,$A18,Citas!A:A,"S09")+COUNTIFS(Citas!T:T,$A18,Citas!A:A,"S09")+COUNTIFS(Citas!U:U,$A18,Citas!A:A,"S09")+COUNTIFS(Citas!V:V,$A18,Citas!A:A,"S09")+COUNTIFS(Citas!W:W,$A18,Citas!A:A,"S09")+COUNTIFS(Citas!X:X,$A18,Citas!A:A,"S09")</f>
        <v>0</v>
      </c>
      <c r="E18" s="2">
        <f>COUNTIFS(Citas!R:R,$A18,Citas!A:A,"S10")+COUNTIFS(Citas!S:S,$A18,Citas!A:A,"S10")+COUNTIFS(Citas!T:T,$A18,Citas!A:A,"S10")+COUNTIFS(Citas!U:U,$A18,Citas!A:A,"S10")+COUNTIFS(Citas!V:V,$A18,Citas!A:A,"S10")+COUNTIFS(Citas!W:W,$A18,Citas!A:A,"S10")+COUNTIFS(Citas!X:X,$A18,Citas!A:A,"S10")</f>
        <v>0</v>
      </c>
      <c r="F18" s="2">
        <f>COUNTIFS(Citas!R:R,$A18,Citas!A:A,"S11")+COUNTIFS(Citas!S:S,$A18,Citas!A:A,"S11")+COUNTIFS(Citas!T:T,$A18,Citas!A:A,"S11")+COUNTIFS(Citas!U:U,$A18,Citas!A:A,"S11")+COUNTIFS(Citas!V:V,$A18,Citas!A:A,"S11")+COUNTIFS(Citas!W:W,$A18,Citas!A:A,"S11")+COUNTIFS(Citas!X:X,$A18,Citas!A:A,"S11")</f>
        <v>0</v>
      </c>
      <c r="G18" s="2">
        <f>COUNTIFS(Citas!R:R,$A18,Citas!A:A,"S12")+COUNTIFS(Citas!S:S,$A18,Citas!A:A,"S12")+COUNTIFS(Citas!T:T,$A18,Citas!A:A,"S12")+COUNTIFS(Citas!U:U,$A18,Citas!A:A,"S12")+COUNTIFS(Citas!V:V,$A18,Citas!A:A,"S12")+COUNTIFS(Citas!W:W,$A18,Citas!A:A,"S12")+COUNTIFS(Citas!X:X,$A18,Citas!A:A,"S12")</f>
        <v>0</v>
      </c>
      <c r="H18" s="2">
        <f>COUNTIFS(Citas!R:R,$A18,Citas!A:A,"S13")+COUNTIFS(Citas!S:S,$A18,Citas!A:A,"S13")+COUNTIFS(Citas!T:T,$A18,Citas!A:A,"S13")+COUNTIFS(Citas!U:U,$A18,Citas!A:A,"S13")+COUNTIFS(Citas!V:V,$A18,Citas!A:A,"S13")+COUNTIFS(Citas!W:W,$A18,Citas!A:A,"S13")+COUNTIFS(Citas!X:X,$A18,Citas!A:A,"S13")</f>
        <v>0</v>
      </c>
      <c r="I18" s="2">
        <f>COUNTIFS(Citas!R:R,$A18,Citas!A:A,"S14")+COUNTIFS(Citas!S:S,$A18,Citas!A:A,"S14")+COUNTIFS(Citas!T:T,$A18,Citas!A:A,"S14")+COUNTIFS(Citas!U:U,$A18,Citas!A:A,"S14")+COUNTIFS(Citas!V:V,$A18,Citas!A:A,"S14")+COUNTIFS(Citas!W:W,$A18,Citas!A:A,"S14")+COUNTIFS(Citas!X:X,$A18,Citas!A:A,"S14")</f>
        <v>0</v>
      </c>
      <c r="J18" s="2">
        <f>COUNTIFS(Citas!R:R,$A18,Citas!A:A,"S16")+COUNTIFS(Citas!S:S,$A18,Citas!A:A,"S16")+COUNTIFS(Citas!T:T,$A18,Citas!A:A,"S16")+COUNTIFS(Citas!U:U,$A18,Citas!A:A,"S16")+COUNTIFS(Citas!V:V,$A18,Citas!A:A,"S16")+COUNTIFS(Citas!W:W,$A18,Citas!A:A,"S16")+COUNTIFS(Citas!X:X,$A18,Citas!A:A,"S16")</f>
        <v>0</v>
      </c>
    </row>
    <row r="19" spans="1:10" x14ac:dyDescent="0.2">
      <c r="A19" s="4" t="s">
        <v>482</v>
      </c>
      <c r="B19" s="4">
        <f>COUNTIFS(Citas!R:R,$A19,Citas!A:A,"S07")+COUNTIFS(Citas!S:S,$A19,Citas!A:A,"S07")+COUNTIFS(Citas!T:T,$A19,Citas!A:A,"S07")+COUNTIFS(Citas!U:U,$A19,Citas!A:A,"S07")+COUNTIFS(Citas!V:V,$A19,Citas!A:A,"S07")+COUNTIFS(Citas!W:W,$A19,Citas!A:A,"S07")+COUNTIFS(Citas!X:X,$A19,Citas!A:A,"S07")</f>
        <v>0</v>
      </c>
      <c r="C19" s="4">
        <f>COUNTIFS(Citas!R:R,$A19,Citas!A:A,"S08")+COUNTIFS(Citas!S:S,$A19,Citas!A:A,"S08")+COUNTIFS(Citas!T:T,$A19,Citas!A:A,"S08")+COUNTIFS(Citas!U:U,$A19,Citas!A:A,"S08")+COUNTIFS(Citas!V:V,$A19,Citas!A:A,"S08")+COUNTIFS(Citas!W:W,$A19,Citas!A:A,"S08")+COUNTIFS(Citas!X:X,$A19,Citas!A:A,"S08")</f>
        <v>0</v>
      </c>
      <c r="D19" s="4">
        <f>COUNTIFS(Citas!R:R,$A19,Citas!A:A,"S09")+COUNTIFS(Citas!S:S,$A19,Citas!A:A,"S09")+COUNTIFS(Citas!T:T,$A19,Citas!A:A,"S09")+COUNTIFS(Citas!U:U,$A19,Citas!A:A,"S09")+COUNTIFS(Citas!V:V,$A19,Citas!A:A,"S09")+COUNTIFS(Citas!W:W,$A19,Citas!A:A,"S09")+COUNTIFS(Citas!X:X,$A19,Citas!A:A,"S09")</f>
        <v>0</v>
      </c>
      <c r="E19" s="4">
        <f>COUNTIFS(Citas!R:R,$A19,Citas!A:A,"S10")+COUNTIFS(Citas!S:S,$A19,Citas!A:A,"S10")+COUNTIFS(Citas!T:T,$A19,Citas!A:A,"S10")+COUNTIFS(Citas!U:U,$A19,Citas!A:A,"S10")+COUNTIFS(Citas!V:V,$A19,Citas!A:A,"S10")+COUNTIFS(Citas!W:W,$A19,Citas!A:A,"S10")+COUNTIFS(Citas!X:X,$A19,Citas!A:A,"S10")</f>
        <v>0</v>
      </c>
      <c r="F19" s="4">
        <f>COUNTIFS(Citas!R:R,$A19,Citas!A:A,"S11")+COUNTIFS(Citas!S:S,$A19,Citas!A:A,"S11")+COUNTIFS(Citas!T:T,$A19,Citas!A:A,"S11")+COUNTIFS(Citas!U:U,$A19,Citas!A:A,"S11")+COUNTIFS(Citas!V:V,$A19,Citas!A:A,"S11")+COUNTIFS(Citas!W:W,$A19,Citas!A:A,"S11")+COUNTIFS(Citas!X:X,$A19,Citas!A:A,"S11")</f>
        <v>0</v>
      </c>
      <c r="G19" s="4">
        <f>COUNTIFS(Citas!R:R,$A19,Citas!A:A,"S12")+COUNTIFS(Citas!S:S,$A19,Citas!A:A,"S12")+COUNTIFS(Citas!T:T,$A19,Citas!A:A,"S12")+COUNTIFS(Citas!U:U,$A19,Citas!A:A,"S12")+COUNTIFS(Citas!V:V,$A19,Citas!A:A,"S12")+COUNTIFS(Citas!W:W,$A19,Citas!A:A,"S12")+COUNTIFS(Citas!X:X,$A19,Citas!A:A,"S12")</f>
        <v>0</v>
      </c>
      <c r="H19" s="4">
        <f>COUNTIFS(Citas!R:R,$A19,Citas!A:A,"S13")+COUNTIFS(Citas!S:S,$A19,Citas!A:A,"S13")+COUNTIFS(Citas!T:T,$A19,Citas!A:A,"S13")+COUNTIFS(Citas!U:U,$A19,Citas!A:A,"S13")+COUNTIFS(Citas!V:V,$A19,Citas!A:A,"S13")+COUNTIFS(Citas!W:W,$A19,Citas!A:A,"S13")+COUNTIFS(Citas!X:X,$A19,Citas!A:A,"S13")</f>
        <v>0</v>
      </c>
      <c r="I19" s="4">
        <f>COUNTIFS(Citas!R:R,$A19,Citas!A:A,"S14")+COUNTIFS(Citas!S:S,$A19,Citas!A:A,"S14")+COUNTIFS(Citas!T:T,$A19,Citas!A:A,"S14")+COUNTIFS(Citas!U:U,$A19,Citas!A:A,"S14")+COUNTIFS(Citas!V:V,$A19,Citas!A:A,"S14")+COUNTIFS(Citas!W:W,$A19,Citas!A:A,"S14")+COUNTIFS(Citas!X:X,$A19,Citas!A:A,"S14")</f>
        <v>0</v>
      </c>
      <c r="J19" s="4">
        <f>COUNTIFS(Citas!R:R,$A19,Citas!A:A,"S16")+COUNTIFS(Citas!S:S,$A19,Citas!A:A,"S16")+COUNTIFS(Citas!T:T,$A19,Citas!A:A,"S16")+COUNTIFS(Citas!U:U,$A19,Citas!A:A,"S16")+COUNTIFS(Citas!V:V,$A19,Citas!A:A,"S16")+COUNTIFS(Citas!W:W,$A19,Citas!A:A,"S16")+COUNTIFS(Citas!X:X,$A19,Citas!A:A,"S16")</f>
        <v>0</v>
      </c>
    </row>
    <row r="20" spans="1:10" x14ac:dyDescent="0.2">
      <c r="A20" s="2" t="s">
        <v>483</v>
      </c>
      <c r="B20" s="2">
        <f>COUNTIFS(Citas!R:R,$A20,Citas!A:A,"S07")+COUNTIFS(Citas!S:S,$A20,Citas!A:A,"S07")+COUNTIFS(Citas!T:T,$A20,Citas!A:A,"S07")+COUNTIFS(Citas!U:U,$A20,Citas!A:A,"S07")+COUNTIFS(Citas!V:V,$A20,Citas!A:A,"S07")+COUNTIFS(Citas!W:W,$A20,Citas!A:A,"S07")+COUNTIFS(Citas!X:X,$A20,Citas!A:A,"S07")</f>
        <v>0</v>
      </c>
      <c r="C20" s="2">
        <f>COUNTIFS(Citas!R:R,$A20,Citas!A:A,"S08")+COUNTIFS(Citas!S:S,$A20,Citas!A:A,"S08")+COUNTIFS(Citas!T:T,$A20,Citas!A:A,"S08")+COUNTIFS(Citas!U:U,$A20,Citas!A:A,"S08")+COUNTIFS(Citas!V:V,$A20,Citas!A:A,"S08")+COUNTIFS(Citas!W:W,$A20,Citas!A:A,"S08")+COUNTIFS(Citas!X:X,$A20,Citas!A:A,"S08")</f>
        <v>0</v>
      </c>
      <c r="D20" s="2">
        <f>COUNTIFS(Citas!R:R,$A20,Citas!A:A,"S09")+COUNTIFS(Citas!S:S,$A20,Citas!A:A,"S09")+COUNTIFS(Citas!T:T,$A20,Citas!A:A,"S09")+COUNTIFS(Citas!U:U,$A20,Citas!A:A,"S09")+COUNTIFS(Citas!V:V,$A20,Citas!A:A,"S09")+COUNTIFS(Citas!W:W,$A20,Citas!A:A,"S09")+COUNTIFS(Citas!X:X,$A20,Citas!A:A,"S09")</f>
        <v>0</v>
      </c>
      <c r="E20" s="2">
        <f>COUNTIFS(Citas!R:R,$A20,Citas!A:A,"S10")+COUNTIFS(Citas!S:S,$A20,Citas!A:A,"S10")+COUNTIFS(Citas!T:T,$A20,Citas!A:A,"S10")+COUNTIFS(Citas!U:U,$A20,Citas!A:A,"S10")+COUNTIFS(Citas!V:V,$A20,Citas!A:A,"S10")+COUNTIFS(Citas!W:W,$A20,Citas!A:A,"S10")+COUNTIFS(Citas!X:X,$A20,Citas!A:A,"S10")</f>
        <v>0</v>
      </c>
      <c r="F20" s="2">
        <f>COUNTIFS(Citas!R:R,$A20,Citas!A:A,"S11")+COUNTIFS(Citas!S:S,$A20,Citas!A:A,"S11")+COUNTIFS(Citas!T:T,$A20,Citas!A:A,"S11")+COUNTIFS(Citas!U:U,$A20,Citas!A:A,"S11")+COUNTIFS(Citas!V:V,$A20,Citas!A:A,"S11")+COUNTIFS(Citas!W:W,$A20,Citas!A:A,"S11")+COUNTIFS(Citas!X:X,$A20,Citas!A:A,"S11")</f>
        <v>0</v>
      </c>
      <c r="G20" s="2">
        <f>COUNTIFS(Citas!R:R,$A20,Citas!A:A,"S12")+COUNTIFS(Citas!S:S,$A20,Citas!A:A,"S12")+COUNTIFS(Citas!T:T,$A20,Citas!A:A,"S12")+COUNTIFS(Citas!U:U,$A20,Citas!A:A,"S12")+COUNTIFS(Citas!V:V,$A20,Citas!A:A,"S12")+COUNTIFS(Citas!W:W,$A20,Citas!A:A,"S12")+COUNTIFS(Citas!X:X,$A20,Citas!A:A,"S12")</f>
        <v>0</v>
      </c>
      <c r="H20" s="2">
        <f>COUNTIFS(Citas!R:R,$A20,Citas!A:A,"S13")+COUNTIFS(Citas!S:S,$A20,Citas!A:A,"S13")+COUNTIFS(Citas!T:T,$A20,Citas!A:A,"S13")+COUNTIFS(Citas!U:U,$A20,Citas!A:A,"S13")+COUNTIFS(Citas!V:V,$A20,Citas!A:A,"S13")+COUNTIFS(Citas!W:W,$A20,Citas!A:A,"S13")+COUNTIFS(Citas!X:X,$A20,Citas!A:A,"S13")</f>
        <v>0</v>
      </c>
      <c r="I20" s="2">
        <f>COUNTIFS(Citas!R:R,$A20,Citas!A:A,"S14")+COUNTIFS(Citas!S:S,$A20,Citas!A:A,"S14")+COUNTIFS(Citas!T:T,$A20,Citas!A:A,"S14")+COUNTIFS(Citas!U:U,$A20,Citas!A:A,"S14")+COUNTIFS(Citas!V:V,$A20,Citas!A:A,"S14")+COUNTIFS(Citas!W:W,$A20,Citas!A:A,"S14")+COUNTIFS(Citas!X:X,$A20,Citas!A:A,"S14")</f>
        <v>0</v>
      </c>
      <c r="J20" s="2">
        <f>COUNTIFS(Citas!R:R,$A20,Citas!A:A,"S16")+COUNTIFS(Citas!S:S,$A20,Citas!A:A,"S16")+COUNTIFS(Citas!T:T,$A20,Citas!A:A,"S16")+COUNTIFS(Citas!U:U,$A20,Citas!A:A,"S16")+COUNTIFS(Citas!V:V,$A20,Citas!A:A,"S16")+COUNTIFS(Citas!W:W,$A20,Citas!A:A,"S16")+COUNTIFS(Citas!X:X,$A20,Citas!A:A,"S16")</f>
        <v>0</v>
      </c>
    </row>
    <row r="21" spans="1:10" x14ac:dyDescent="0.2">
      <c r="A21" s="4" t="s">
        <v>484</v>
      </c>
      <c r="B21" s="4">
        <f>COUNTIFS(Citas!R:R,$A21,Citas!A:A,"S07")+COUNTIFS(Citas!S:S,$A21,Citas!A:A,"S07")+COUNTIFS(Citas!T:T,$A21,Citas!A:A,"S07")+COUNTIFS(Citas!U:U,$A21,Citas!A:A,"S07")+COUNTIFS(Citas!V:V,$A21,Citas!A:A,"S07")+COUNTIFS(Citas!W:W,$A21,Citas!A:A,"S07")+COUNTIFS(Citas!X:X,$A21,Citas!A:A,"S07")</f>
        <v>0</v>
      </c>
      <c r="C21" s="4">
        <f>COUNTIFS(Citas!R:R,$A21,Citas!A:A,"S08")+COUNTIFS(Citas!S:S,$A21,Citas!A:A,"S08")+COUNTIFS(Citas!T:T,$A21,Citas!A:A,"S08")+COUNTIFS(Citas!U:U,$A21,Citas!A:A,"S08")+COUNTIFS(Citas!V:V,$A21,Citas!A:A,"S08")+COUNTIFS(Citas!W:W,$A21,Citas!A:A,"S08")+COUNTIFS(Citas!X:X,$A21,Citas!A:A,"S08")</f>
        <v>0</v>
      </c>
      <c r="D21" s="4">
        <f>COUNTIFS(Citas!R:R,$A21,Citas!A:A,"S09")+COUNTIFS(Citas!S:S,$A21,Citas!A:A,"S09")+COUNTIFS(Citas!T:T,$A21,Citas!A:A,"S09")+COUNTIFS(Citas!U:U,$A21,Citas!A:A,"S09")+COUNTIFS(Citas!V:V,$A21,Citas!A:A,"S09")+COUNTIFS(Citas!W:W,$A21,Citas!A:A,"S09")+COUNTIFS(Citas!X:X,$A21,Citas!A:A,"S09")</f>
        <v>0</v>
      </c>
      <c r="E21" s="4">
        <f>COUNTIFS(Citas!R:R,$A21,Citas!A:A,"S10")+COUNTIFS(Citas!S:S,$A21,Citas!A:A,"S10")+COUNTIFS(Citas!T:T,$A21,Citas!A:A,"S10")+COUNTIFS(Citas!U:U,$A21,Citas!A:A,"S10")+COUNTIFS(Citas!V:V,$A21,Citas!A:A,"S10")+COUNTIFS(Citas!W:W,$A21,Citas!A:A,"S10")+COUNTIFS(Citas!X:X,$A21,Citas!A:A,"S10")</f>
        <v>0</v>
      </c>
      <c r="F21" s="4">
        <f>COUNTIFS(Citas!R:R,$A21,Citas!A:A,"S11")+COUNTIFS(Citas!S:S,$A21,Citas!A:A,"S11")+COUNTIFS(Citas!T:T,$A21,Citas!A:A,"S11")+COUNTIFS(Citas!U:U,$A21,Citas!A:A,"S11")+COUNTIFS(Citas!V:V,$A21,Citas!A:A,"S11")+COUNTIFS(Citas!W:W,$A21,Citas!A:A,"S11")+COUNTIFS(Citas!X:X,$A21,Citas!A:A,"S11")</f>
        <v>0</v>
      </c>
      <c r="G21" s="4">
        <f>COUNTIFS(Citas!R:R,$A21,Citas!A:A,"S12")+COUNTIFS(Citas!S:S,$A21,Citas!A:A,"S12")+COUNTIFS(Citas!T:T,$A21,Citas!A:A,"S12")+COUNTIFS(Citas!U:U,$A21,Citas!A:A,"S12")+COUNTIFS(Citas!V:V,$A21,Citas!A:A,"S12")+COUNTIFS(Citas!W:W,$A21,Citas!A:A,"S12")+COUNTIFS(Citas!X:X,$A21,Citas!A:A,"S12")</f>
        <v>0</v>
      </c>
      <c r="H21" s="4">
        <f>COUNTIFS(Citas!R:R,$A21,Citas!A:A,"S13")+COUNTIFS(Citas!S:S,$A21,Citas!A:A,"S13")+COUNTIFS(Citas!T:T,$A21,Citas!A:A,"S13")+COUNTIFS(Citas!U:U,$A21,Citas!A:A,"S13")+COUNTIFS(Citas!V:V,$A21,Citas!A:A,"S13")+COUNTIFS(Citas!W:W,$A21,Citas!A:A,"S13")+COUNTIFS(Citas!X:X,$A21,Citas!A:A,"S13")</f>
        <v>0</v>
      </c>
      <c r="I21" s="4">
        <f>COUNTIFS(Citas!R:R,$A21,Citas!A:A,"S14")+COUNTIFS(Citas!S:S,$A21,Citas!A:A,"S14")+COUNTIFS(Citas!T:T,$A21,Citas!A:A,"S14")+COUNTIFS(Citas!U:U,$A21,Citas!A:A,"S14")+COUNTIFS(Citas!V:V,$A21,Citas!A:A,"S14")+COUNTIFS(Citas!W:W,$A21,Citas!A:A,"S14")+COUNTIFS(Citas!X:X,$A21,Citas!A:A,"S14")</f>
        <v>0</v>
      </c>
      <c r="J21" s="4">
        <f>COUNTIFS(Citas!R:R,$A21,Citas!A:A,"S16")+COUNTIFS(Citas!S:S,$A21,Citas!A:A,"S16")+COUNTIFS(Citas!T:T,$A21,Citas!A:A,"S16")+COUNTIFS(Citas!U:U,$A21,Citas!A:A,"S16")+COUNTIFS(Citas!V:V,$A21,Citas!A:A,"S16")+COUNTIFS(Citas!W:W,$A21,Citas!A:A,"S16")+COUNTIFS(Citas!X:X,$A21,Citas!A:A,"S16")</f>
        <v>0</v>
      </c>
    </row>
    <row r="22" spans="1:10" x14ac:dyDescent="0.2">
      <c r="A22" s="2" t="s">
        <v>485</v>
      </c>
      <c r="B22" s="2">
        <f>COUNTIFS(Citas!R:R,$A22,Citas!A:A,"S07")+COUNTIFS(Citas!S:S,$A22,Citas!A:A,"S07")+COUNTIFS(Citas!T:T,$A22,Citas!A:A,"S07")+COUNTIFS(Citas!U:U,$A22,Citas!A:A,"S07")+COUNTIFS(Citas!V:V,$A22,Citas!A:A,"S07")+COUNTIFS(Citas!W:W,$A22,Citas!A:A,"S07")+COUNTIFS(Citas!X:X,$A22,Citas!A:A,"S07")</f>
        <v>0</v>
      </c>
      <c r="C22" s="2">
        <f>COUNTIFS(Citas!R:R,$A22,Citas!A:A,"S08")+COUNTIFS(Citas!S:S,$A22,Citas!A:A,"S08")+COUNTIFS(Citas!T:T,$A22,Citas!A:A,"S08")+COUNTIFS(Citas!U:U,$A22,Citas!A:A,"S08")+COUNTIFS(Citas!V:V,$A22,Citas!A:A,"S08")+COUNTIFS(Citas!W:W,$A22,Citas!A:A,"S08")+COUNTIFS(Citas!X:X,$A22,Citas!A:A,"S08")</f>
        <v>0</v>
      </c>
      <c r="D22" s="2">
        <f>COUNTIFS(Citas!R:R,$A22,Citas!A:A,"S09")+COUNTIFS(Citas!S:S,$A22,Citas!A:A,"S09")+COUNTIFS(Citas!T:T,$A22,Citas!A:A,"S09")+COUNTIFS(Citas!U:U,$A22,Citas!A:A,"S09")+COUNTIFS(Citas!V:V,$A22,Citas!A:A,"S09")+COUNTIFS(Citas!W:W,$A22,Citas!A:A,"S09")+COUNTIFS(Citas!X:X,$A22,Citas!A:A,"S09")</f>
        <v>0</v>
      </c>
      <c r="E22" s="2">
        <f>COUNTIFS(Citas!R:R,$A22,Citas!A:A,"S10")+COUNTIFS(Citas!S:S,$A22,Citas!A:A,"S10")+COUNTIFS(Citas!T:T,$A22,Citas!A:A,"S10")+COUNTIFS(Citas!U:U,$A22,Citas!A:A,"S10")+COUNTIFS(Citas!V:V,$A22,Citas!A:A,"S10")+COUNTIFS(Citas!W:W,$A22,Citas!A:A,"S10")+COUNTIFS(Citas!X:X,$A22,Citas!A:A,"S10")</f>
        <v>0</v>
      </c>
      <c r="F22" s="2">
        <f>COUNTIFS(Citas!R:R,$A22,Citas!A:A,"S11")+COUNTIFS(Citas!S:S,$A22,Citas!A:A,"S11")+COUNTIFS(Citas!T:T,$A22,Citas!A:A,"S11")+COUNTIFS(Citas!U:U,$A22,Citas!A:A,"S11")+COUNTIFS(Citas!V:V,$A22,Citas!A:A,"S11")+COUNTIFS(Citas!W:W,$A22,Citas!A:A,"S11")+COUNTIFS(Citas!X:X,$A22,Citas!A:A,"S11")</f>
        <v>0</v>
      </c>
      <c r="G22" s="2">
        <f>COUNTIFS(Citas!R:R,$A22,Citas!A:A,"S12")+COUNTIFS(Citas!S:S,$A22,Citas!A:A,"S12")+COUNTIFS(Citas!T:T,$A22,Citas!A:A,"S12")+COUNTIFS(Citas!U:U,$A22,Citas!A:A,"S12")+COUNTIFS(Citas!V:V,$A22,Citas!A:A,"S12")+COUNTIFS(Citas!W:W,$A22,Citas!A:A,"S12")+COUNTIFS(Citas!X:X,$A22,Citas!A:A,"S12")</f>
        <v>0</v>
      </c>
      <c r="H22" s="2">
        <f>COUNTIFS(Citas!R:R,$A22,Citas!A:A,"S13")+COUNTIFS(Citas!S:S,$A22,Citas!A:A,"S13")+COUNTIFS(Citas!T:T,$A22,Citas!A:A,"S13")+COUNTIFS(Citas!U:U,$A22,Citas!A:A,"S13")+COUNTIFS(Citas!V:V,$A22,Citas!A:A,"S13")+COUNTIFS(Citas!W:W,$A22,Citas!A:A,"S13")+COUNTIFS(Citas!X:X,$A22,Citas!A:A,"S13")</f>
        <v>0</v>
      </c>
      <c r="I22" s="2">
        <f>COUNTIFS(Citas!R:R,$A22,Citas!A:A,"S14")+COUNTIFS(Citas!S:S,$A22,Citas!A:A,"S14")+COUNTIFS(Citas!T:T,$A22,Citas!A:A,"S14")+COUNTIFS(Citas!U:U,$A22,Citas!A:A,"S14")+COUNTIFS(Citas!V:V,$A22,Citas!A:A,"S14")+COUNTIFS(Citas!W:W,$A22,Citas!A:A,"S14")+COUNTIFS(Citas!X:X,$A22,Citas!A:A,"S14")</f>
        <v>0</v>
      </c>
      <c r="J22" s="2">
        <f>COUNTIFS(Citas!R:R,$A22,Citas!A:A,"S16")+COUNTIFS(Citas!S:S,$A22,Citas!A:A,"S16")+COUNTIFS(Citas!T:T,$A22,Citas!A:A,"S16")+COUNTIFS(Citas!U:U,$A22,Citas!A:A,"S16")+COUNTIFS(Citas!V:V,$A22,Citas!A:A,"S16")+COUNTIFS(Citas!W:W,$A22,Citas!A:A,"S16")+COUNTIFS(Citas!X:X,$A22,Citas!A:A,"S16")</f>
        <v>0</v>
      </c>
    </row>
    <row r="23" spans="1:10" x14ac:dyDescent="0.2">
      <c r="A23" s="4" t="s">
        <v>486</v>
      </c>
      <c r="B23" s="4">
        <f>COUNTIFS(Citas!R:R,$A23,Citas!A:A,"S07")+COUNTIFS(Citas!S:S,$A23,Citas!A:A,"S07")+COUNTIFS(Citas!T:T,$A23,Citas!A:A,"S07")+COUNTIFS(Citas!U:U,$A23,Citas!A:A,"S07")+COUNTIFS(Citas!V:V,$A23,Citas!A:A,"S07")+COUNTIFS(Citas!W:W,$A23,Citas!A:A,"S07")+COUNTIFS(Citas!X:X,$A23,Citas!A:A,"S07")</f>
        <v>0</v>
      </c>
      <c r="C23" s="4">
        <f>COUNTIFS(Citas!R:R,$A23,Citas!A:A,"S08")+COUNTIFS(Citas!S:S,$A23,Citas!A:A,"S08")+COUNTIFS(Citas!T:T,$A23,Citas!A:A,"S08")+COUNTIFS(Citas!U:U,$A23,Citas!A:A,"S08")+COUNTIFS(Citas!V:V,$A23,Citas!A:A,"S08")+COUNTIFS(Citas!W:W,$A23,Citas!A:A,"S08")+COUNTIFS(Citas!X:X,$A23,Citas!A:A,"S08")</f>
        <v>0</v>
      </c>
      <c r="D23" s="4">
        <f>COUNTIFS(Citas!R:R,$A23,Citas!A:A,"S09")+COUNTIFS(Citas!S:S,$A23,Citas!A:A,"S09")+COUNTIFS(Citas!T:T,$A23,Citas!A:A,"S09")+COUNTIFS(Citas!U:U,$A23,Citas!A:A,"S09")+COUNTIFS(Citas!V:V,$A23,Citas!A:A,"S09")+COUNTIFS(Citas!W:W,$A23,Citas!A:A,"S09")+COUNTIFS(Citas!X:X,$A23,Citas!A:A,"S09")</f>
        <v>0</v>
      </c>
      <c r="E23" s="4">
        <f>COUNTIFS(Citas!R:R,$A23,Citas!A:A,"S10")+COUNTIFS(Citas!S:S,$A23,Citas!A:A,"S10")+COUNTIFS(Citas!T:T,$A23,Citas!A:A,"S10")+COUNTIFS(Citas!U:U,$A23,Citas!A:A,"S10")+COUNTIFS(Citas!V:V,$A23,Citas!A:A,"S10")+COUNTIFS(Citas!W:W,$A23,Citas!A:A,"S10")+COUNTIFS(Citas!X:X,$A23,Citas!A:A,"S10")</f>
        <v>0</v>
      </c>
      <c r="F23" s="4">
        <f>COUNTIFS(Citas!R:R,$A23,Citas!A:A,"S11")+COUNTIFS(Citas!S:S,$A23,Citas!A:A,"S11")+COUNTIFS(Citas!T:T,$A23,Citas!A:A,"S11")+COUNTIFS(Citas!U:U,$A23,Citas!A:A,"S11")+COUNTIFS(Citas!V:V,$A23,Citas!A:A,"S11")+COUNTIFS(Citas!W:W,$A23,Citas!A:A,"S11")+COUNTIFS(Citas!X:X,$A23,Citas!A:A,"S11")</f>
        <v>0</v>
      </c>
      <c r="G23" s="4">
        <f>COUNTIFS(Citas!R:R,$A23,Citas!A:A,"S12")+COUNTIFS(Citas!S:S,$A23,Citas!A:A,"S12")+COUNTIFS(Citas!T:T,$A23,Citas!A:A,"S12")+COUNTIFS(Citas!U:U,$A23,Citas!A:A,"S12")+COUNTIFS(Citas!V:V,$A23,Citas!A:A,"S12")+COUNTIFS(Citas!W:W,$A23,Citas!A:A,"S12")+COUNTIFS(Citas!X:X,$A23,Citas!A:A,"S12")</f>
        <v>0</v>
      </c>
      <c r="H23" s="4">
        <f>COUNTIFS(Citas!R:R,$A23,Citas!A:A,"S13")+COUNTIFS(Citas!S:S,$A23,Citas!A:A,"S13")+COUNTIFS(Citas!T:T,$A23,Citas!A:A,"S13")+COUNTIFS(Citas!U:U,$A23,Citas!A:A,"S13")+COUNTIFS(Citas!V:V,$A23,Citas!A:A,"S13")+COUNTIFS(Citas!W:W,$A23,Citas!A:A,"S13")+COUNTIFS(Citas!X:X,$A23,Citas!A:A,"S13")</f>
        <v>0</v>
      </c>
      <c r="I23" s="4">
        <f>COUNTIFS(Citas!R:R,$A23,Citas!A:A,"S14")+COUNTIFS(Citas!S:S,$A23,Citas!A:A,"S14")+COUNTIFS(Citas!T:T,$A23,Citas!A:A,"S14")+COUNTIFS(Citas!U:U,$A23,Citas!A:A,"S14")+COUNTIFS(Citas!V:V,$A23,Citas!A:A,"S14")+COUNTIFS(Citas!W:W,$A23,Citas!A:A,"S14")+COUNTIFS(Citas!X:X,$A23,Citas!A:A,"S14")</f>
        <v>0</v>
      </c>
      <c r="J23" s="4">
        <f>COUNTIFS(Citas!R:R,$A23,Citas!A:A,"S16")+COUNTIFS(Citas!S:S,$A23,Citas!A:A,"S16")+COUNTIFS(Citas!T:T,$A23,Citas!A:A,"S16")+COUNTIFS(Citas!U:U,$A23,Citas!A:A,"S16")+COUNTIFS(Citas!V:V,$A23,Citas!A:A,"S16")+COUNTIFS(Citas!W:W,$A23,Citas!A:A,"S16")+COUNTIFS(Citas!X:X,$A23,Citas!A:A,"S16")</f>
        <v>0</v>
      </c>
    </row>
    <row r="24" spans="1:10" x14ac:dyDescent="0.2">
      <c r="A24" s="2" t="s">
        <v>487</v>
      </c>
      <c r="B24" s="2">
        <f>COUNTIFS(Citas!R:R,$A24,Citas!A:A,"S07")+COUNTIFS(Citas!S:S,$A24,Citas!A:A,"S07")+COUNTIFS(Citas!T:T,$A24,Citas!A:A,"S07")+COUNTIFS(Citas!U:U,$A24,Citas!A:A,"S07")+COUNTIFS(Citas!V:V,$A24,Citas!A:A,"S07")+COUNTIFS(Citas!W:W,$A24,Citas!A:A,"S07")+COUNTIFS(Citas!X:X,$A24,Citas!A:A,"S07")</f>
        <v>0</v>
      </c>
      <c r="C24" s="2">
        <f>COUNTIFS(Citas!R:R,$A24,Citas!A:A,"S08")+COUNTIFS(Citas!S:S,$A24,Citas!A:A,"S08")+COUNTIFS(Citas!T:T,$A24,Citas!A:A,"S08")+COUNTIFS(Citas!U:U,$A24,Citas!A:A,"S08")+COUNTIFS(Citas!V:V,$A24,Citas!A:A,"S08")+COUNTIFS(Citas!W:W,$A24,Citas!A:A,"S08")+COUNTIFS(Citas!X:X,$A24,Citas!A:A,"S08")</f>
        <v>0</v>
      </c>
      <c r="D24" s="2">
        <f>COUNTIFS(Citas!R:R,$A24,Citas!A:A,"S09")+COUNTIFS(Citas!S:S,$A24,Citas!A:A,"S09")+COUNTIFS(Citas!T:T,$A24,Citas!A:A,"S09")+COUNTIFS(Citas!U:U,$A24,Citas!A:A,"S09")+COUNTIFS(Citas!V:V,$A24,Citas!A:A,"S09")+COUNTIFS(Citas!W:W,$A24,Citas!A:A,"S09")+COUNTIFS(Citas!X:X,$A24,Citas!A:A,"S09")</f>
        <v>0</v>
      </c>
      <c r="E24" s="2">
        <f>COUNTIFS(Citas!R:R,$A24,Citas!A:A,"S10")+COUNTIFS(Citas!S:S,$A24,Citas!A:A,"S10")+COUNTIFS(Citas!T:T,$A24,Citas!A:A,"S10")+COUNTIFS(Citas!U:U,$A24,Citas!A:A,"S10")+COUNTIFS(Citas!V:V,$A24,Citas!A:A,"S10")+COUNTIFS(Citas!W:W,$A24,Citas!A:A,"S10")+COUNTIFS(Citas!X:X,$A24,Citas!A:A,"S10")</f>
        <v>0</v>
      </c>
      <c r="F24" s="2">
        <f>COUNTIFS(Citas!R:R,$A24,Citas!A:A,"S11")+COUNTIFS(Citas!S:S,$A24,Citas!A:A,"S11")+COUNTIFS(Citas!T:T,$A24,Citas!A:A,"S11")+COUNTIFS(Citas!U:U,$A24,Citas!A:A,"S11")+COUNTIFS(Citas!V:V,$A24,Citas!A:A,"S11")+COUNTIFS(Citas!W:W,$A24,Citas!A:A,"S11")+COUNTIFS(Citas!X:X,$A24,Citas!A:A,"S11")</f>
        <v>0</v>
      </c>
      <c r="G24" s="2">
        <f>COUNTIFS(Citas!R:R,$A24,Citas!A:A,"S12")+COUNTIFS(Citas!S:S,$A24,Citas!A:A,"S12")+COUNTIFS(Citas!T:T,$A24,Citas!A:A,"S12")+COUNTIFS(Citas!U:U,$A24,Citas!A:A,"S12")+COUNTIFS(Citas!V:V,$A24,Citas!A:A,"S12")+COUNTIFS(Citas!W:W,$A24,Citas!A:A,"S12")+COUNTIFS(Citas!X:X,$A24,Citas!A:A,"S12")</f>
        <v>0</v>
      </c>
      <c r="H24" s="2">
        <f>COUNTIFS(Citas!R:R,$A24,Citas!A:A,"S13")+COUNTIFS(Citas!S:S,$A24,Citas!A:A,"S13")+COUNTIFS(Citas!T:T,$A24,Citas!A:A,"S13")+COUNTIFS(Citas!U:U,$A24,Citas!A:A,"S13")+COUNTIFS(Citas!V:V,$A24,Citas!A:A,"S13")+COUNTIFS(Citas!W:W,$A24,Citas!A:A,"S13")+COUNTIFS(Citas!X:X,$A24,Citas!A:A,"S13")</f>
        <v>0</v>
      </c>
      <c r="I24" s="2">
        <f>COUNTIFS(Citas!R:R,$A24,Citas!A:A,"S14")+COUNTIFS(Citas!S:S,$A24,Citas!A:A,"S14")+COUNTIFS(Citas!T:T,$A24,Citas!A:A,"S14")+COUNTIFS(Citas!U:U,$A24,Citas!A:A,"S14")+COUNTIFS(Citas!V:V,$A24,Citas!A:A,"S14")+COUNTIFS(Citas!W:W,$A24,Citas!A:A,"S14")+COUNTIFS(Citas!X:X,$A24,Citas!A:A,"S14")</f>
        <v>0</v>
      </c>
      <c r="J24" s="2">
        <f>COUNTIFS(Citas!R:R,$A24,Citas!A:A,"S16")+COUNTIFS(Citas!S:S,$A24,Citas!A:A,"S16")+COUNTIFS(Citas!T:T,$A24,Citas!A:A,"S16")+COUNTIFS(Citas!U:U,$A24,Citas!A:A,"S16")+COUNTIFS(Citas!V:V,$A24,Citas!A:A,"S16")+COUNTIFS(Citas!W:W,$A24,Citas!A:A,"S16")+COUNTIFS(Citas!X:X,$A24,Citas!A:A,"S16")</f>
        <v>0</v>
      </c>
    </row>
  </sheetData>
  <mergeCells count="2">
    <mergeCell ref="A3:H3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7E14"/>
  </sheetPr>
  <dimension ref="A1:F26"/>
  <sheetViews>
    <sheetView tabSelected="1" topLeftCell="A6" zoomScaleNormal="100" workbookViewId="0">
      <selection activeCell="A15" sqref="A15"/>
    </sheetView>
  </sheetViews>
  <sheetFormatPr baseColWidth="10" defaultColWidth="8.6640625" defaultRowHeight="15" x14ac:dyDescent="0.2"/>
  <cols>
    <col min="1" max="1" width="42.83203125" bestFit="1" customWidth="1"/>
    <col min="2" max="2" width="10.6640625" bestFit="1" customWidth="1"/>
    <col min="3" max="3" width="14.5" bestFit="1" customWidth="1"/>
    <col min="4" max="4" width="12.6640625" bestFit="1" customWidth="1"/>
    <col min="5" max="5" width="28.33203125" bestFit="1" customWidth="1"/>
    <col min="6" max="6" width="16.6640625" bestFit="1" customWidth="1"/>
  </cols>
  <sheetData>
    <row r="1" spans="1:6" ht="18" x14ac:dyDescent="0.2">
      <c r="A1" s="18" t="s">
        <v>489</v>
      </c>
      <c r="B1" s="19"/>
      <c r="C1" s="19"/>
      <c r="D1" s="19"/>
      <c r="E1" s="19"/>
      <c r="F1" s="19"/>
    </row>
    <row r="3" spans="1:6" ht="30" x14ac:dyDescent="0.2">
      <c r="A3" s="1" t="s">
        <v>490</v>
      </c>
      <c r="B3" s="1" t="s">
        <v>453</v>
      </c>
      <c r="C3" s="1" t="s">
        <v>454</v>
      </c>
      <c r="D3" s="1" t="s">
        <v>491</v>
      </c>
      <c r="E3" s="1" t="s">
        <v>492</v>
      </c>
      <c r="F3" s="1" t="s">
        <v>493</v>
      </c>
    </row>
    <row r="4" spans="1:6" x14ac:dyDescent="0.2">
      <c r="A4" s="2" t="s">
        <v>494</v>
      </c>
      <c r="B4" s="2">
        <v>16</v>
      </c>
      <c r="C4" s="2">
        <v>76</v>
      </c>
      <c r="D4" s="2">
        <v>2.4</v>
      </c>
      <c r="E4" s="2" t="s">
        <v>495</v>
      </c>
      <c r="F4" s="2"/>
    </row>
    <row r="5" spans="1:6" x14ac:dyDescent="0.2">
      <c r="A5" s="4" t="s">
        <v>496</v>
      </c>
      <c r="B5" s="4">
        <v>8</v>
      </c>
      <c r="C5" s="4">
        <v>45</v>
      </c>
      <c r="D5" s="4">
        <v>2.5</v>
      </c>
      <c r="E5" s="4" t="s">
        <v>497</v>
      </c>
      <c r="F5" s="4"/>
    </row>
    <row r="6" spans="1:6" x14ac:dyDescent="0.2">
      <c r="A6" s="2" t="s">
        <v>498</v>
      </c>
      <c r="B6" s="2">
        <v>6</v>
      </c>
      <c r="C6" s="2">
        <v>32</v>
      </c>
      <c r="D6" s="2">
        <v>2.2999999999999998</v>
      </c>
      <c r="E6" s="2" t="s">
        <v>499</v>
      </c>
      <c r="F6" s="2"/>
    </row>
    <row r="7" spans="1:6" x14ac:dyDescent="0.2">
      <c r="A7" s="4" t="s">
        <v>500</v>
      </c>
      <c r="B7" s="4">
        <v>6</v>
      </c>
      <c r="C7" s="4">
        <v>39</v>
      </c>
      <c r="D7" s="4">
        <v>2</v>
      </c>
      <c r="E7" s="4" t="s">
        <v>501</v>
      </c>
      <c r="F7" s="4"/>
    </row>
    <row r="8" spans="1:6" x14ac:dyDescent="0.2">
      <c r="A8" s="2" t="s">
        <v>502</v>
      </c>
      <c r="B8" s="2">
        <v>5</v>
      </c>
      <c r="C8" s="2">
        <v>69</v>
      </c>
      <c r="D8" s="2">
        <v>2.2000000000000002</v>
      </c>
      <c r="E8" s="2" t="s">
        <v>40</v>
      </c>
      <c r="F8" s="2"/>
    </row>
    <row r="9" spans="1:6" x14ac:dyDescent="0.2">
      <c r="A9" s="4" t="s">
        <v>503</v>
      </c>
      <c r="B9" s="4">
        <v>5</v>
      </c>
      <c r="C9" s="4">
        <v>23</v>
      </c>
      <c r="D9" s="4">
        <v>2.4</v>
      </c>
      <c r="E9" s="4" t="s">
        <v>501</v>
      </c>
      <c r="F9" s="4"/>
    </row>
    <row r="10" spans="1:6" x14ac:dyDescent="0.2">
      <c r="A10" s="2" t="s">
        <v>504</v>
      </c>
      <c r="B10" s="2">
        <v>5</v>
      </c>
      <c r="C10" s="2">
        <v>35</v>
      </c>
      <c r="D10" s="2">
        <v>3.4</v>
      </c>
      <c r="E10" s="2" t="s">
        <v>505</v>
      </c>
      <c r="F10" s="2"/>
    </row>
    <row r="11" spans="1:6" x14ac:dyDescent="0.2">
      <c r="A11" s="4" t="s">
        <v>506</v>
      </c>
      <c r="B11" s="4">
        <v>4</v>
      </c>
      <c r="C11" s="4">
        <v>17</v>
      </c>
      <c r="D11" s="4">
        <v>2.5</v>
      </c>
      <c r="E11" s="4" t="s">
        <v>495</v>
      </c>
      <c r="F11" s="4"/>
    </row>
    <row r="12" spans="1:6" x14ac:dyDescent="0.2">
      <c r="A12" s="2" t="s">
        <v>507</v>
      </c>
      <c r="B12" s="2">
        <v>4</v>
      </c>
      <c r="C12" s="2">
        <v>20</v>
      </c>
      <c r="D12" s="2">
        <v>2.2000000000000002</v>
      </c>
      <c r="E12" s="2" t="s">
        <v>40</v>
      </c>
      <c r="F12" s="2"/>
    </row>
    <row r="13" spans="1:6" x14ac:dyDescent="0.2">
      <c r="A13" s="4" t="s">
        <v>508</v>
      </c>
      <c r="B13" s="4">
        <v>3</v>
      </c>
      <c r="C13" s="4">
        <v>14</v>
      </c>
      <c r="D13" s="4">
        <v>2.7</v>
      </c>
      <c r="E13" s="4" t="s">
        <v>40</v>
      </c>
      <c r="F13" s="4"/>
    </row>
    <row r="14" spans="1:6" x14ac:dyDescent="0.2">
      <c r="A14" s="2" t="s">
        <v>509</v>
      </c>
      <c r="B14" s="2">
        <v>3</v>
      </c>
      <c r="C14" s="2">
        <v>13</v>
      </c>
      <c r="D14" s="2">
        <v>2.2999999999999998</v>
      </c>
      <c r="E14" s="2" t="s">
        <v>501</v>
      </c>
      <c r="F14" s="2"/>
    </row>
    <row r="15" spans="1:6" x14ac:dyDescent="0.2">
      <c r="A15" s="4" t="s">
        <v>510</v>
      </c>
      <c r="B15" s="4">
        <v>1</v>
      </c>
      <c r="C15" s="4">
        <v>7</v>
      </c>
      <c r="D15" s="4">
        <v>2</v>
      </c>
      <c r="E15" s="4" t="s">
        <v>40</v>
      </c>
      <c r="F15" s="4"/>
    </row>
    <row r="16" spans="1:6" x14ac:dyDescent="0.2">
      <c r="A16" s="2" t="s">
        <v>511</v>
      </c>
      <c r="B16" s="2">
        <v>1</v>
      </c>
      <c r="C16" s="2">
        <v>5</v>
      </c>
      <c r="D16" s="2">
        <v>3</v>
      </c>
      <c r="E16" s="2" t="s">
        <v>40</v>
      </c>
      <c r="F16" s="2"/>
    </row>
    <row r="17" spans="1:6" ht="28" x14ac:dyDescent="0.2">
      <c r="A17" s="4" t="s">
        <v>512</v>
      </c>
      <c r="B17" s="4">
        <v>1</v>
      </c>
      <c r="C17" s="4">
        <v>3</v>
      </c>
      <c r="D17" s="4">
        <v>2</v>
      </c>
      <c r="E17" s="4" t="s">
        <v>40</v>
      </c>
      <c r="F17" s="4"/>
    </row>
    <row r="18" spans="1:6" x14ac:dyDescent="0.2">
      <c r="A18" s="2" t="s">
        <v>513</v>
      </c>
      <c r="B18" s="2">
        <v>1</v>
      </c>
      <c r="C18" s="2">
        <v>12</v>
      </c>
      <c r="D18" s="2">
        <v>4</v>
      </c>
      <c r="E18" s="2" t="s">
        <v>40</v>
      </c>
      <c r="F18" s="2"/>
    </row>
    <row r="19" spans="1:6" x14ac:dyDescent="0.2">
      <c r="A19" s="4" t="s">
        <v>514</v>
      </c>
      <c r="B19" s="4">
        <v>1</v>
      </c>
      <c r="C19" s="4">
        <v>8</v>
      </c>
      <c r="D19" s="4">
        <v>3</v>
      </c>
      <c r="E19" s="4" t="s">
        <v>140</v>
      </c>
      <c r="F19" s="4"/>
    </row>
    <row r="20" spans="1:6" x14ac:dyDescent="0.2">
      <c r="A20" s="2" t="s">
        <v>515</v>
      </c>
      <c r="B20" s="2">
        <v>1</v>
      </c>
      <c r="C20" s="2">
        <v>4</v>
      </c>
      <c r="D20" s="2">
        <v>2</v>
      </c>
      <c r="E20" s="2" t="s">
        <v>145</v>
      </c>
      <c r="F20" s="2"/>
    </row>
    <row r="21" spans="1:6" x14ac:dyDescent="0.2">
      <c r="A21" s="4" t="s">
        <v>516</v>
      </c>
      <c r="B21" s="4">
        <v>1</v>
      </c>
      <c r="C21" s="4">
        <v>12</v>
      </c>
      <c r="D21" s="4">
        <v>4</v>
      </c>
      <c r="E21" s="4" t="s">
        <v>40</v>
      </c>
      <c r="F21" s="4"/>
    </row>
    <row r="22" spans="1:6" x14ac:dyDescent="0.2">
      <c r="A22" s="2" t="s">
        <v>517</v>
      </c>
      <c r="B22" s="2">
        <v>1</v>
      </c>
      <c r="C22" s="2">
        <v>3</v>
      </c>
      <c r="D22" s="2">
        <v>2</v>
      </c>
      <c r="E22" s="2" t="s">
        <v>140</v>
      </c>
      <c r="F22" s="2"/>
    </row>
    <row r="23" spans="1:6" x14ac:dyDescent="0.2">
      <c r="A23" s="4" t="s">
        <v>518</v>
      </c>
      <c r="B23" s="4">
        <v>1</v>
      </c>
      <c r="C23" s="4">
        <v>3</v>
      </c>
      <c r="D23" s="4">
        <v>1</v>
      </c>
      <c r="E23" s="4" t="s">
        <v>40</v>
      </c>
      <c r="F23" s="4"/>
    </row>
    <row r="24" spans="1:6" x14ac:dyDescent="0.2">
      <c r="A24" s="2" t="s">
        <v>519</v>
      </c>
      <c r="B24" s="2">
        <v>1</v>
      </c>
      <c r="C24" s="2">
        <v>8</v>
      </c>
      <c r="D24" s="2">
        <v>4</v>
      </c>
      <c r="E24" s="2" t="s">
        <v>40</v>
      </c>
      <c r="F24" s="2"/>
    </row>
    <row r="25" spans="1:6" x14ac:dyDescent="0.2">
      <c r="A25" s="4" t="s">
        <v>520</v>
      </c>
      <c r="B25" s="4">
        <v>1</v>
      </c>
      <c r="C25" s="4">
        <v>6</v>
      </c>
      <c r="D25" s="4">
        <v>3</v>
      </c>
      <c r="E25" s="4" t="s">
        <v>40</v>
      </c>
      <c r="F25" s="4"/>
    </row>
    <row r="26" spans="1:6" x14ac:dyDescent="0.2">
      <c r="A26" s="2" t="s">
        <v>521</v>
      </c>
      <c r="B26" s="2">
        <v>1</v>
      </c>
      <c r="C26" s="2">
        <v>3</v>
      </c>
      <c r="D26" s="2">
        <v>2</v>
      </c>
      <c r="E26" s="2" t="s">
        <v>40</v>
      </c>
      <c r="F26" s="2"/>
    </row>
  </sheetData>
  <mergeCells count="1">
    <mergeCell ref="A1:F1"/>
  </mergeCells>
  <dataValidations count="1">
    <dataValidation type="list" allowBlank="1" sqref="F4:F26" xr:uid="{00000000-0002-0000-0300-000000000000}">
      <formula1>"Alejandro Herrera,Alexander Herrera,Eddier Aladana,Michel Matos,Alejandro Matos,Esteban Matos,Juan Correa"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F42C1"/>
  </sheetPr>
  <dimension ref="A1:D25"/>
  <sheetViews>
    <sheetView zoomScaleNormal="100" workbookViewId="0">
      <selection activeCell="B15" sqref="B15"/>
    </sheetView>
  </sheetViews>
  <sheetFormatPr baseColWidth="10" defaultColWidth="8.6640625" defaultRowHeight="15" x14ac:dyDescent="0.2"/>
  <cols>
    <col min="1" max="1" width="28.83203125" bestFit="1" customWidth="1"/>
    <col min="2" max="2" width="20" customWidth="1"/>
  </cols>
  <sheetData>
    <row r="1" spans="1:4" ht="18" x14ac:dyDescent="0.2">
      <c r="A1" s="18" t="s">
        <v>522</v>
      </c>
      <c r="B1" s="19"/>
      <c r="C1" s="19"/>
      <c r="D1" s="19"/>
    </row>
    <row r="3" spans="1:4" ht="16" x14ac:dyDescent="0.2">
      <c r="A3" s="12" t="s">
        <v>523</v>
      </c>
      <c r="B3" s="13"/>
    </row>
    <row r="4" spans="1:4" ht="18" x14ac:dyDescent="0.2">
      <c r="A4" s="14" t="s">
        <v>524</v>
      </c>
      <c r="B4" s="15">
        <f>COUNTA(Citas!B5:B81)</f>
        <v>77</v>
      </c>
    </row>
    <row r="5" spans="1:4" ht="18" x14ac:dyDescent="0.2">
      <c r="A5" s="14" t="s">
        <v>478</v>
      </c>
      <c r="B5" s="15">
        <f>COUNTIF(Citas!Y5:Y81,"Completado")</f>
        <v>0</v>
      </c>
    </row>
    <row r="6" spans="1:4" ht="18" x14ac:dyDescent="0.2">
      <c r="A6" s="14" t="s">
        <v>476</v>
      </c>
      <c r="B6" s="15">
        <f>COUNTIF(Citas!Y5:Y81,"Pendiente")</f>
        <v>77</v>
      </c>
    </row>
    <row r="7" spans="1:4" ht="18" x14ac:dyDescent="0.2">
      <c r="A7" s="14" t="s">
        <v>477</v>
      </c>
      <c r="B7" s="15">
        <f>COUNTIF(Citas!Y5:Y81,"En Progreso")</f>
        <v>0</v>
      </c>
    </row>
    <row r="8" spans="1:4" ht="18" x14ac:dyDescent="0.2">
      <c r="A8" s="14" t="s">
        <v>525</v>
      </c>
      <c r="B8" s="15">
        <f>COUNTIF(Citas!Y5:Y81,"Reprogramado")</f>
        <v>0</v>
      </c>
    </row>
    <row r="9" spans="1:4" ht="18" x14ac:dyDescent="0.2">
      <c r="A9" s="14" t="s">
        <v>526</v>
      </c>
      <c r="B9" s="15">
        <f>COUNTIF(Citas!Y5:Y81,"Cancelado")</f>
        <v>0</v>
      </c>
    </row>
    <row r="10" spans="1:4" ht="18" x14ac:dyDescent="0.2">
      <c r="A10" s="14" t="s">
        <v>480</v>
      </c>
      <c r="B10" s="16">
        <f>IF(B4&gt;0,B5/B4,0)</f>
        <v>0</v>
      </c>
    </row>
    <row r="12" spans="1:4" ht="16" x14ac:dyDescent="0.2">
      <c r="A12" s="12" t="s">
        <v>527</v>
      </c>
      <c r="B12" s="13"/>
    </row>
    <row r="13" spans="1:4" ht="18" x14ac:dyDescent="0.2">
      <c r="A13" s="14" t="s">
        <v>528</v>
      </c>
      <c r="B13" s="15">
        <f>SUM(Citas!I5:I81)</f>
        <v>457</v>
      </c>
    </row>
    <row r="14" spans="1:4" ht="18" x14ac:dyDescent="0.2">
      <c r="A14" s="14" t="s">
        <v>529</v>
      </c>
      <c r="B14" s="15">
        <f>SUMPRODUCT((Citas!J5:J81="WH")*Citas!I5:I81)</f>
        <v>63</v>
      </c>
    </row>
    <row r="15" spans="1:4" ht="18" x14ac:dyDescent="0.2">
      <c r="A15" s="14" t="s">
        <v>530</v>
      </c>
      <c r="B15" s="15">
        <f>SUMPRODUCT((Citas!J5:J81="WE")*Citas!I5:I81)</f>
        <v>394</v>
      </c>
    </row>
    <row r="17" spans="1:2" ht="16" x14ac:dyDescent="0.2">
      <c r="A17" s="12" t="s">
        <v>531</v>
      </c>
      <c r="B17" s="13"/>
    </row>
    <row r="18" spans="1:2" ht="18" x14ac:dyDescent="0.2">
      <c r="A18" s="14" t="s">
        <v>532</v>
      </c>
      <c r="B18" s="17">
        <f>SUM(Citas!AB5:AB81)</f>
        <v>0</v>
      </c>
    </row>
    <row r="19" spans="1:2" ht="18" x14ac:dyDescent="0.2">
      <c r="A19" s="14" t="s">
        <v>533</v>
      </c>
      <c r="B19" s="17">
        <f>SUM(Citas!AC5:AC81)</f>
        <v>0</v>
      </c>
    </row>
    <row r="20" spans="1:2" ht="18" x14ac:dyDescent="0.2">
      <c r="A20" s="14" t="s">
        <v>534</v>
      </c>
      <c r="B20" s="17">
        <f>B19-B18</f>
        <v>0</v>
      </c>
    </row>
    <row r="22" spans="1:2" ht="16" x14ac:dyDescent="0.2">
      <c r="A22" s="12" t="s">
        <v>535</v>
      </c>
      <c r="B22" s="13"/>
    </row>
    <row r="23" spans="1:2" ht="18" x14ac:dyDescent="0.2">
      <c r="A23" s="14" t="s">
        <v>536</v>
      </c>
      <c r="B23" s="15">
        <f>COUNTBLANK(Citas!R5:R81)</f>
        <v>77</v>
      </c>
    </row>
    <row r="24" spans="1:2" ht="18" x14ac:dyDescent="0.2">
      <c r="A24" s="14" t="s">
        <v>537</v>
      </c>
      <c r="B24" s="15">
        <f>SUMPRODUCT((Técnicos!B6:B12&gt;0)*1)</f>
        <v>0</v>
      </c>
    </row>
    <row r="25" spans="1:2" ht="18" x14ac:dyDescent="0.2">
      <c r="A25" s="14" t="s">
        <v>538</v>
      </c>
      <c r="B25" s="15">
        <f>COUNTIF(Citas!AD5:AD81,"Pendiente")+COUNTIF(Citas!AD5:AD81,"No")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B4B4"/>
  </sheetPr>
  <dimension ref="A1:F77"/>
  <sheetViews>
    <sheetView topLeftCell="A27" zoomScaleNormal="100" workbookViewId="0">
      <selection activeCell="B15" sqref="B15"/>
    </sheetView>
  </sheetViews>
  <sheetFormatPr baseColWidth="10" defaultColWidth="8.6640625" defaultRowHeight="15" customHeight="1" x14ac:dyDescent="0.2"/>
  <cols>
    <col min="1" max="6" width="15" customWidth="1"/>
  </cols>
  <sheetData>
    <row r="1" spans="1:6" ht="34.5" customHeight="1" x14ac:dyDescent="0.2">
      <c r="A1" s="18" t="s">
        <v>539</v>
      </c>
      <c r="B1" s="19"/>
      <c r="C1" s="19"/>
      <c r="D1" s="19"/>
      <c r="E1" s="19"/>
      <c r="F1" s="19"/>
    </row>
    <row r="3" spans="1:6" ht="15" customHeight="1" x14ac:dyDescent="0.2">
      <c r="A3" s="1" t="s">
        <v>540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3</v>
      </c>
    </row>
    <row r="4" spans="1:6" ht="15" customHeight="1" x14ac:dyDescent="0.2">
      <c r="A4" s="2" t="s">
        <v>541</v>
      </c>
      <c r="B4" s="2" t="s">
        <v>35</v>
      </c>
      <c r="C4" s="2" t="s">
        <v>36</v>
      </c>
      <c r="D4" s="25">
        <v>0.33333333333333331</v>
      </c>
      <c r="E4" s="25">
        <v>0.75</v>
      </c>
      <c r="F4" s="2" t="s">
        <v>34</v>
      </c>
    </row>
    <row r="5" spans="1:6" ht="15" customHeight="1" x14ac:dyDescent="0.2">
      <c r="A5" s="4" t="s">
        <v>542</v>
      </c>
      <c r="B5" s="4" t="s">
        <v>35</v>
      </c>
      <c r="C5" s="4" t="s">
        <v>36</v>
      </c>
      <c r="D5" s="26">
        <v>0.33333333333333331</v>
      </c>
      <c r="E5" s="26">
        <v>0.75</v>
      </c>
      <c r="F5" s="4" t="s">
        <v>34</v>
      </c>
    </row>
    <row r="6" spans="1:6" ht="15" customHeight="1" x14ac:dyDescent="0.2">
      <c r="A6" s="2" t="s">
        <v>541</v>
      </c>
      <c r="B6" s="2" t="s">
        <v>71</v>
      </c>
      <c r="C6" s="2" t="s">
        <v>72</v>
      </c>
      <c r="D6" s="25">
        <v>0.33333333333333331</v>
      </c>
      <c r="E6" s="25">
        <v>0.75</v>
      </c>
      <c r="F6" s="2" t="s">
        <v>34</v>
      </c>
    </row>
    <row r="7" spans="1:6" ht="15" customHeight="1" x14ac:dyDescent="0.2">
      <c r="A7" s="4" t="s">
        <v>542</v>
      </c>
      <c r="B7" s="4" t="s">
        <v>71</v>
      </c>
      <c r="C7" s="4" t="s">
        <v>72</v>
      </c>
      <c r="D7" s="26">
        <v>0.33333333333333331</v>
      </c>
      <c r="E7" s="26">
        <v>0.75</v>
      </c>
      <c r="F7" s="4" t="s">
        <v>34</v>
      </c>
    </row>
    <row r="8" spans="1:6" ht="15" customHeight="1" x14ac:dyDescent="0.2">
      <c r="A8" s="2" t="s">
        <v>541</v>
      </c>
      <c r="B8" s="2" t="s">
        <v>83</v>
      </c>
      <c r="C8" s="2" t="s">
        <v>84</v>
      </c>
      <c r="D8" s="25">
        <v>0.33333333333333331</v>
      </c>
      <c r="E8" s="25">
        <v>0.75</v>
      </c>
      <c r="F8" s="2" t="s">
        <v>34</v>
      </c>
    </row>
    <row r="9" spans="1:6" ht="15" customHeight="1" x14ac:dyDescent="0.2">
      <c r="A9" s="4" t="s">
        <v>542</v>
      </c>
      <c r="B9" s="4" t="s">
        <v>83</v>
      </c>
      <c r="C9" s="4" t="s">
        <v>84</v>
      </c>
      <c r="D9" s="26">
        <v>0.33333333333333331</v>
      </c>
      <c r="E9" s="26">
        <v>0.75</v>
      </c>
      <c r="F9" s="4" t="s">
        <v>34</v>
      </c>
    </row>
    <row r="10" spans="1:6" ht="15" customHeight="1" x14ac:dyDescent="0.2">
      <c r="A10" s="2" t="s">
        <v>541</v>
      </c>
      <c r="B10" s="2" t="s">
        <v>91</v>
      </c>
      <c r="C10" s="2" t="s">
        <v>92</v>
      </c>
      <c r="D10" s="25">
        <v>0.33333333333333331</v>
      </c>
      <c r="E10" s="25">
        <v>0.75</v>
      </c>
      <c r="F10" s="2" t="s">
        <v>34</v>
      </c>
    </row>
    <row r="11" spans="1:6" ht="15" customHeight="1" x14ac:dyDescent="0.2">
      <c r="A11" s="4" t="s">
        <v>542</v>
      </c>
      <c r="B11" s="4" t="s">
        <v>91</v>
      </c>
      <c r="C11" s="4" t="s">
        <v>92</v>
      </c>
      <c r="D11" s="26">
        <v>0.33333333333333331</v>
      </c>
      <c r="E11" s="26">
        <v>0.75</v>
      </c>
      <c r="F11" s="4" t="s">
        <v>34</v>
      </c>
    </row>
    <row r="12" spans="1:6" ht="15" customHeight="1" x14ac:dyDescent="0.2">
      <c r="A12" s="2" t="s">
        <v>541</v>
      </c>
      <c r="B12" s="2" t="s">
        <v>103</v>
      </c>
      <c r="C12" s="2" t="s">
        <v>104</v>
      </c>
      <c r="D12" s="25">
        <v>0.33333333333333331</v>
      </c>
      <c r="E12" s="25">
        <v>0.75</v>
      </c>
      <c r="F12" s="2" t="s">
        <v>34</v>
      </c>
    </row>
    <row r="13" spans="1:6" ht="15" customHeight="1" x14ac:dyDescent="0.2">
      <c r="A13" s="4" t="s">
        <v>542</v>
      </c>
      <c r="B13" s="4" t="s">
        <v>103</v>
      </c>
      <c r="C13" s="4" t="s">
        <v>104</v>
      </c>
      <c r="D13" s="26">
        <v>0.33333333333333331</v>
      </c>
      <c r="E13" s="26">
        <v>0.75</v>
      </c>
      <c r="F13" s="4" t="s">
        <v>34</v>
      </c>
    </row>
    <row r="14" spans="1:6" ht="15" customHeight="1" x14ac:dyDescent="0.2">
      <c r="A14" s="2" t="s">
        <v>541</v>
      </c>
      <c r="B14" s="2" t="s">
        <v>110</v>
      </c>
      <c r="C14" s="2" t="s">
        <v>36</v>
      </c>
      <c r="D14" s="25">
        <v>0.33333333333333331</v>
      </c>
      <c r="E14" s="25">
        <v>0.75</v>
      </c>
      <c r="F14" s="2" t="s">
        <v>109</v>
      </c>
    </row>
    <row r="15" spans="1:6" ht="15" customHeight="1" x14ac:dyDescent="0.2">
      <c r="A15" s="4" t="s">
        <v>542</v>
      </c>
      <c r="B15" s="4" t="s">
        <v>110</v>
      </c>
      <c r="C15" s="4" t="s">
        <v>36</v>
      </c>
      <c r="D15" s="26">
        <v>0.33333333333333331</v>
      </c>
      <c r="E15" s="26">
        <v>0.75</v>
      </c>
      <c r="F15" s="4" t="s">
        <v>109</v>
      </c>
    </row>
    <row r="16" spans="1:6" ht="15" customHeight="1" x14ac:dyDescent="0.2">
      <c r="A16" s="2" t="s">
        <v>541</v>
      </c>
      <c r="B16" s="2" t="s">
        <v>128</v>
      </c>
      <c r="C16" s="2" t="s">
        <v>72</v>
      </c>
      <c r="D16" s="25">
        <v>0.33333333333333331</v>
      </c>
      <c r="E16" s="25">
        <v>0.75</v>
      </c>
      <c r="F16" s="2" t="s">
        <v>109</v>
      </c>
    </row>
    <row r="17" spans="1:6" ht="15" customHeight="1" x14ac:dyDescent="0.2">
      <c r="A17" s="4" t="s">
        <v>542</v>
      </c>
      <c r="B17" s="4" t="s">
        <v>128</v>
      </c>
      <c r="C17" s="4" t="s">
        <v>72</v>
      </c>
      <c r="D17" s="26">
        <v>0.33333333333333331</v>
      </c>
      <c r="E17" s="26">
        <v>0.75</v>
      </c>
      <c r="F17" s="4" t="s">
        <v>109</v>
      </c>
    </row>
    <row r="18" spans="1:6" ht="15" customHeight="1" x14ac:dyDescent="0.2">
      <c r="A18" s="2" t="s">
        <v>541</v>
      </c>
      <c r="B18" s="2" t="s">
        <v>143</v>
      </c>
      <c r="C18" s="2" t="s">
        <v>84</v>
      </c>
      <c r="D18" s="25">
        <v>0.33333333333333331</v>
      </c>
      <c r="E18" s="25">
        <v>0.75</v>
      </c>
      <c r="F18" s="2" t="s">
        <v>109</v>
      </c>
    </row>
    <row r="19" spans="1:6" ht="15" customHeight="1" x14ac:dyDescent="0.2">
      <c r="A19" s="4" t="s">
        <v>542</v>
      </c>
      <c r="B19" s="4" t="s">
        <v>143</v>
      </c>
      <c r="C19" s="4" t="s">
        <v>84</v>
      </c>
      <c r="D19" s="26">
        <v>0.33333333333333331</v>
      </c>
      <c r="E19" s="26">
        <v>0.75</v>
      </c>
      <c r="F19" s="4" t="s">
        <v>109</v>
      </c>
    </row>
    <row r="20" spans="1:6" ht="15" customHeight="1" x14ac:dyDescent="0.2">
      <c r="A20" s="2" t="s">
        <v>541</v>
      </c>
      <c r="B20" s="2" t="s">
        <v>161</v>
      </c>
      <c r="C20" s="2" t="s">
        <v>92</v>
      </c>
      <c r="D20" s="25">
        <v>0.33333333333333331</v>
      </c>
      <c r="E20" s="25">
        <v>0.75</v>
      </c>
      <c r="F20" s="2" t="s">
        <v>109</v>
      </c>
    </row>
    <row r="21" spans="1:6" ht="15" customHeight="1" x14ac:dyDescent="0.2">
      <c r="A21" s="4" t="s">
        <v>542</v>
      </c>
      <c r="B21" s="4" t="s">
        <v>161</v>
      </c>
      <c r="C21" s="4" t="s">
        <v>92</v>
      </c>
      <c r="D21" s="26">
        <v>0.33333333333333331</v>
      </c>
      <c r="E21" s="26">
        <v>0.75</v>
      </c>
      <c r="F21" s="4" t="s">
        <v>109</v>
      </c>
    </row>
    <row r="22" spans="1:6" ht="15" customHeight="1" x14ac:dyDescent="0.2">
      <c r="A22" s="2" t="s">
        <v>541</v>
      </c>
      <c r="B22" s="2" t="s">
        <v>172</v>
      </c>
      <c r="C22" s="2" t="s">
        <v>104</v>
      </c>
      <c r="D22" s="25">
        <v>0.33333333333333331</v>
      </c>
      <c r="E22" s="25">
        <v>0.75</v>
      </c>
      <c r="F22" s="2" t="s">
        <v>109</v>
      </c>
    </row>
    <row r="23" spans="1:6" ht="15" customHeight="1" x14ac:dyDescent="0.2">
      <c r="A23" s="4" t="s">
        <v>542</v>
      </c>
      <c r="B23" s="4" t="s">
        <v>172</v>
      </c>
      <c r="C23" s="4" t="s">
        <v>104</v>
      </c>
      <c r="D23" s="26">
        <v>0.33333333333333331</v>
      </c>
      <c r="E23" s="26">
        <v>0.75</v>
      </c>
      <c r="F23" s="4" t="s">
        <v>109</v>
      </c>
    </row>
    <row r="24" spans="1:6" ht="15" customHeight="1" x14ac:dyDescent="0.2">
      <c r="A24" s="2" t="s">
        <v>541</v>
      </c>
      <c r="B24" s="2" t="s">
        <v>185</v>
      </c>
      <c r="C24" s="2" t="s">
        <v>36</v>
      </c>
      <c r="D24" s="25">
        <v>0.33333333333333331</v>
      </c>
      <c r="E24" s="25">
        <v>0.75</v>
      </c>
      <c r="F24" s="2" t="s">
        <v>184</v>
      </c>
    </row>
    <row r="25" spans="1:6" ht="15" customHeight="1" x14ac:dyDescent="0.2">
      <c r="A25" s="4" t="s">
        <v>542</v>
      </c>
      <c r="B25" s="4" t="s">
        <v>185</v>
      </c>
      <c r="C25" s="4" t="s">
        <v>36</v>
      </c>
      <c r="D25" s="26">
        <v>0.33333333333333331</v>
      </c>
      <c r="E25" s="26">
        <v>0.75</v>
      </c>
      <c r="F25" s="4" t="s">
        <v>184</v>
      </c>
    </row>
    <row r="26" spans="1:6" ht="15" customHeight="1" x14ac:dyDescent="0.2">
      <c r="A26" s="2" t="s">
        <v>541</v>
      </c>
      <c r="B26" s="2" t="s">
        <v>200</v>
      </c>
      <c r="C26" s="2" t="s">
        <v>72</v>
      </c>
      <c r="D26" s="25">
        <v>0.33333333333333331</v>
      </c>
      <c r="E26" s="25">
        <v>0.75</v>
      </c>
      <c r="F26" s="2" t="s">
        <v>184</v>
      </c>
    </row>
    <row r="27" spans="1:6" ht="15" customHeight="1" x14ac:dyDescent="0.2">
      <c r="A27" s="4" t="s">
        <v>542</v>
      </c>
      <c r="B27" s="4" t="s">
        <v>200</v>
      </c>
      <c r="C27" s="4" t="s">
        <v>72</v>
      </c>
      <c r="D27" s="26">
        <v>0.33333333333333331</v>
      </c>
      <c r="E27" s="26">
        <v>0.75</v>
      </c>
      <c r="F27" s="4" t="s">
        <v>184</v>
      </c>
    </row>
    <row r="28" spans="1:6" ht="15" customHeight="1" x14ac:dyDescent="0.2">
      <c r="A28" s="2" t="s">
        <v>541</v>
      </c>
      <c r="B28" s="2" t="s">
        <v>210</v>
      </c>
      <c r="C28" s="2" t="s">
        <v>84</v>
      </c>
      <c r="D28" s="25">
        <v>0.33333333333333331</v>
      </c>
      <c r="E28" s="25">
        <v>0.75</v>
      </c>
      <c r="F28" s="2" t="s">
        <v>184</v>
      </c>
    </row>
    <row r="29" spans="1:6" ht="15" customHeight="1" x14ac:dyDescent="0.2">
      <c r="A29" s="4" t="s">
        <v>542</v>
      </c>
      <c r="B29" s="4" t="s">
        <v>210</v>
      </c>
      <c r="C29" s="4" t="s">
        <v>84</v>
      </c>
      <c r="D29" s="26">
        <v>0.33333333333333331</v>
      </c>
      <c r="E29" s="26">
        <v>0.75</v>
      </c>
      <c r="F29" s="4" t="s">
        <v>184</v>
      </c>
    </row>
    <row r="30" spans="1:6" ht="15" customHeight="1" x14ac:dyDescent="0.2">
      <c r="A30" s="2" t="s">
        <v>541</v>
      </c>
      <c r="B30" s="2" t="s">
        <v>230</v>
      </c>
      <c r="C30" s="2" t="s">
        <v>92</v>
      </c>
      <c r="D30" s="25">
        <v>0.33333333333333331</v>
      </c>
      <c r="E30" s="25">
        <v>0.75</v>
      </c>
      <c r="F30" s="2" t="s">
        <v>184</v>
      </c>
    </row>
    <row r="31" spans="1:6" ht="15" customHeight="1" x14ac:dyDescent="0.2">
      <c r="A31" s="4" t="s">
        <v>542</v>
      </c>
      <c r="B31" s="4" t="s">
        <v>230</v>
      </c>
      <c r="C31" s="4" t="s">
        <v>92</v>
      </c>
      <c r="D31" s="26">
        <v>0.33333333333333331</v>
      </c>
      <c r="E31" s="26">
        <v>0.75</v>
      </c>
      <c r="F31" s="4" t="s">
        <v>184</v>
      </c>
    </row>
    <row r="32" spans="1:6" ht="15" customHeight="1" x14ac:dyDescent="0.2">
      <c r="A32" s="2" t="s">
        <v>541</v>
      </c>
      <c r="B32" s="2" t="s">
        <v>241</v>
      </c>
      <c r="C32" s="2" t="s">
        <v>104</v>
      </c>
      <c r="D32" s="25">
        <v>0.33333333333333331</v>
      </c>
      <c r="E32" s="25">
        <v>0.75</v>
      </c>
      <c r="F32" s="2" t="s">
        <v>184</v>
      </c>
    </row>
    <row r="33" spans="1:6" ht="15" customHeight="1" x14ac:dyDescent="0.2">
      <c r="A33" s="4" t="s">
        <v>542</v>
      </c>
      <c r="B33" s="4" t="s">
        <v>241</v>
      </c>
      <c r="C33" s="4" t="s">
        <v>104</v>
      </c>
      <c r="D33" s="26">
        <v>0.33333333333333331</v>
      </c>
      <c r="E33" s="26">
        <v>0.75</v>
      </c>
      <c r="F33" s="4" t="s">
        <v>184</v>
      </c>
    </row>
    <row r="34" spans="1:6" ht="15" customHeight="1" x14ac:dyDescent="0.2">
      <c r="A34" s="2" t="s">
        <v>541</v>
      </c>
      <c r="B34" s="2" t="s">
        <v>253</v>
      </c>
      <c r="C34" s="2" t="s">
        <v>36</v>
      </c>
      <c r="D34" s="25">
        <v>0.33333333333333331</v>
      </c>
      <c r="E34" s="25">
        <v>0.75</v>
      </c>
      <c r="F34" s="2" t="s">
        <v>252</v>
      </c>
    </row>
    <row r="35" spans="1:6" ht="15" customHeight="1" x14ac:dyDescent="0.2">
      <c r="A35" s="4" t="s">
        <v>542</v>
      </c>
      <c r="B35" s="4" t="s">
        <v>253</v>
      </c>
      <c r="C35" s="4" t="s">
        <v>36</v>
      </c>
      <c r="D35" s="26">
        <v>0.33333333333333331</v>
      </c>
      <c r="E35" s="26">
        <v>0.75</v>
      </c>
      <c r="F35" s="4" t="s">
        <v>252</v>
      </c>
    </row>
    <row r="36" spans="1:6" ht="15" customHeight="1" x14ac:dyDescent="0.2">
      <c r="A36" s="2" t="s">
        <v>541</v>
      </c>
      <c r="B36" s="2" t="s">
        <v>260</v>
      </c>
      <c r="C36" s="2" t="s">
        <v>72</v>
      </c>
      <c r="D36" s="25">
        <v>0.33333333333333331</v>
      </c>
      <c r="E36" s="25">
        <v>0.75</v>
      </c>
      <c r="F36" s="2" t="s">
        <v>252</v>
      </c>
    </row>
    <row r="37" spans="1:6" ht="15" customHeight="1" x14ac:dyDescent="0.2">
      <c r="A37" s="4" t="s">
        <v>542</v>
      </c>
      <c r="B37" s="4" t="s">
        <v>260</v>
      </c>
      <c r="C37" s="4" t="s">
        <v>72</v>
      </c>
      <c r="D37" s="26">
        <v>0.33333333333333331</v>
      </c>
      <c r="E37" s="26">
        <v>0.75</v>
      </c>
      <c r="F37" s="4" t="s">
        <v>252</v>
      </c>
    </row>
    <row r="38" spans="1:6" ht="15" customHeight="1" x14ac:dyDescent="0.2">
      <c r="A38" s="2" t="s">
        <v>541</v>
      </c>
      <c r="B38" s="2" t="s">
        <v>275</v>
      </c>
      <c r="C38" s="2" t="s">
        <v>84</v>
      </c>
      <c r="D38" s="25">
        <v>0.33333333333333331</v>
      </c>
      <c r="E38" s="25">
        <v>0.75</v>
      </c>
      <c r="F38" s="2" t="s">
        <v>252</v>
      </c>
    </row>
    <row r="39" spans="1:6" ht="15" customHeight="1" x14ac:dyDescent="0.2">
      <c r="A39" s="4" t="s">
        <v>542</v>
      </c>
      <c r="B39" s="4" t="s">
        <v>275</v>
      </c>
      <c r="C39" s="4" t="s">
        <v>84</v>
      </c>
      <c r="D39" s="26">
        <v>0.33333333333333331</v>
      </c>
      <c r="E39" s="26">
        <v>0.75</v>
      </c>
      <c r="F39" s="4" t="s">
        <v>252</v>
      </c>
    </row>
    <row r="40" spans="1:6" ht="15" customHeight="1" x14ac:dyDescent="0.2">
      <c r="A40" s="2" t="s">
        <v>541</v>
      </c>
      <c r="B40" s="2" t="s">
        <v>279</v>
      </c>
      <c r="C40" s="2" t="s">
        <v>92</v>
      </c>
      <c r="D40" s="25">
        <v>0.33333333333333331</v>
      </c>
      <c r="E40" s="25">
        <v>0.75</v>
      </c>
      <c r="F40" s="2" t="s">
        <v>252</v>
      </c>
    </row>
    <row r="41" spans="1:6" ht="15" customHeight="1" x14ac:dyDescent="0.2">
      <c r="A41" s="4" t="s">
        <v>542</v>
      </c>
      <c r="B41" s="4" t="s">
        <v>279</v>
      </c>
      <c r="C41" s="4" t="s">
        <v>92</v>
      </c>
      <c r="D41" s="26">
        <v>0.33333333333333331</v>
      </c>
      <c r="E41" s="26">
        <v>0.75</v>
      </c>
      <c r="F41" s="4" t="s">
        <v>252</v>
      </c>
    </row>
    <row r="42" spans="1:6" ht="15" customHeight="1" x14ac:dyDescent="0.2">
      <c r="A42" s="2" t="s">
        <v>541</v>
      </c>
      <c r="B42" s="2" t="s">
        <v>290</v>
      </c>
      <c r="C42" s="2" t="s">
        <v>104</v>
      </c>
      <c r="D42" s="25">
        <v>0.33333333333333331</v>
      </c>
      <c r="E42" s="25">
        <v>0.75</v>
      </c>
      <c r="F42" s="2" t="s">
        <v>252</v>
      </c>
    </row>
    <row r="43" spans="1:6" ht="15" customHeight="1" x14ac:dyDescent="0.2">
      <c r="A43" s="4" t="s">
        <v>542</v>
      </c>
      <c r="B43" s="4" t="s">
        <v>290</v>
      </c>
      <c r="C43" s="4" t="s">
        <v>104</v>
      </c>
      <c r="D43" s="26">
        <v>0.33333333333333331</v>
      </c>
      <c r="E43" s="26">
        <v>0.75</v>
      </c>
      <c r="F43" s="4" t="s">
        <v>252</v>
      </c>
    </row>
    <row r="44" spans="1:6" ht="15" customHeight="1" x14ac:dyDescent="0.2">
      <c r="A44" s="2" t="s">
        <v>541</v>
      </c>
      <c r="B44" s="2" t="s">
        <v>297</v>
      </c>
      <c r="C44" s="2" t="s">
        <v>36</v>
      </c>
      <c r="D44" s="25">
        <v>0.33333333333333331</v>
      </c>
      <c r="E44" s="25">
        <v>0.75</v>
      </c>
      <c r="F44" s="2" t="s">
        <v>296</v>
      </c>
    </row>
    <row r="45" spans="1:6" ht="15" customHeight="1" x14ac:dyDescent="0.2">
      <c r="A45" s="4" t="s">
        <v>542</v>
      </c>
      <c r="B45" s="4" t="s">
        <v>297</v>
      </c>
      <c r="C45" s="4" t="s">
        <v>36</v>
      </c>
      <c r="D45" s="26">
        <v>0.33333333333333331</v>
      </c>
      <c r="E45" s="26">
        <v>0.75</v>
      </c>
      <c r="F45" s="4" t="s">
        <v>296</v>
      </c>
    </row>
    <row r="46" spans="1:6" ht="15" customHeight="1" x14ac:dyDescent="0.2">
      <c r="A46" s="2" t="s">
        <v>541</v>
      </c>
      <c r="B46" s="2" t="s">
        <v>305</v>
      </c>
      <c r="C46" s="2" t="s">
        <v>72</v>
      </c>
      <c r="D46" s="25">
        <v>0.33333333333333331</v>
      </c>
      <c r="E46" s="25">
        <v>0.75</v>
      </c>
      <c r="F46" s="2" t="s">
        <v>296</v>
      </c>
    </row>
    <row r="47" spans="1:6" ht="15" customHeight="1" x14ac:dyDescent="0.2">
      <c r="A47" s="4" t="s">
        <v>542</v>
      </c>
      <c r="B47" s="4" t="s">
        <v>305</v>
      </c>
      <c r="C47" s="4" t="s">
        <v>72</v>
      </c>
      <c r="D47" s="26">
        <v>0.33333333333333331</v>
      </c>
      <c r="E47" s="26">
        <v>0.75</v>
      </c>
      <c r="F47" s="4" t="s">
        <v>296</v>
      </c>
    </row>
    <row r="48" spans="1:6" ht="15" customHeight="1" x14ac:dyDescent="0.2">
      <c r="A48" s="2" t="s">
        <v>541</v>
      </c>
      <c r="B48" s="2" t="s">
        <v>317</v>
      </c>
      <c r="C48" s="2" t="s">
        <v>84</v>
      </c>
      <c r="D48" s="25">
        <v>0.33333333333333331</v>
      </c>
      <c r="E48" s="25">
        <v>0.75</v>
      </c>
      <c r="F48" s="2" t="s">
        <v>296</v>
      </c>
    </row>
    <row r="49" spans="1:6" ht="15" customHeight="1" x14ac:dyDescent="0.2">
      <c r="A49" s="4" t="s">
        <v>542</v>
      </c>
      <c r="B49" s="4" t="s">
        <v>317</v>
      </c>
      <c r="C49" s="4" t="s">
        <v>84</v>
      </c>
      <c r="D49" s="26">
        <v>0.33333333333333331</v>
      </c>
      <c r="E49" s="26">
        <v>0.75</v>
      </c>
      <c r="F49" s="4" t="s">
        <v>296</v>
      </c>
    </row>
    <row r="50" spans="1:6" ht="15" customHeight="1" x14ac:dyDescent="0.2">
      <c r="A50" s="2" t="s">
        <v>541</v>
      </c>
      <c r="B50" s="2" t="s">
        <v>326</v>
      </c>
      <c r="C50" s="2" t="s">
        <v>92</v>
      </c>
      <c r="D50" s="25">
        <v>0.33333333333333331</v>
      </c>
      <c r="E50" s="25">
        <v>0.75</v>
      </c>
      <c r="F50" s="2" t="s">
        <v>296</v>
      </c>
    </row>
    <row r="51" spans="1:6" ht="15" customHeight="1" x14ac:dyDescent="0.2">
      <c r="A51" s="4" t="s">
        <v>542</v>
      </c>
      <c r="B51" s="4" t="s">
        <v>326</v>
      </c>
      <c r="C51" s="4" t="s">
        <v>92</v>
      </c>
      <c r="D51" s="26">
        <v>0.33333333333333331</v>
      </c>
      <c r="E51" s="26">
        <v>0.75</v>
      </c>
      <c r="F51" s="4" t="s">
        <v>296</v>
      </c>
    </row>
    <row r="52" spans="1:6" ht="15" customHeight="1" x14ac:dyDescent="0.2">
      <c r="A52" s="2" t="s">
        <v>541</v>
      </c>
      <c r="B52" s="2" t="s">
        <v>336</v>
      </c>
      <c r="C52" s="2" t="s">
        <v>104</v>
      </c>
      <c r="D52" s="25">
        <v>0.33333333333333331</v>
      </c>
      <c r="E52" s="25">
        <v>0.75</v>
      </c>
      <c r="F52" s="2" t="s">
        <v>296</v>
      </c>
    </row>
    <row r="53" spans="1:6" ht="15" customHeight="1" x14ac:dyDescent="0.2">
      <c r="A53" s="4" t="s">
        <v>542</v>
      </c>
      <c r="B53" s="4" t="s">
        <v>336</v>
      </c>
      <c r="C53" s="4" t="s">
        <v>104</v>
      </c>
      <c r="D53" s="26">
        <v>0.33333333333333331</v>
      </c>
      <c r="E53" s="26">
        <v>0.75</v>
      </c>
      <c r="F53" s="4" t="s">
        <v>296</v>
      </c>
    </row>
    <row r="54" spans="1:6" ht="15" customHeight="1" x14ac:dyDescent="0.2">
      <c r="A54" s="2" t="s">
        <v>541</v>
      </c>
      <c r="B54" s="2" t="s">
        <v>343</v>
      </c>
      <c r="C54" s="2" t="s">
        <v>36</v>
      </c>
      <c r="D54" s="25">
        <v>0.33333333333333331</v>
      </c>
      <c r="E54" s="25">
        <v>0.75</v>
      </c>
      <c r="F54" s="2" t="s">
        <v>342</v>
      </c>
    </row>
    <row r="55" spans="1:6" ht="15" customHeight="1" x14ac:dyDescent="0.2">
      <c r="A55" s="4" t="s">
        <v>542</v>
      </c>
      <c r="B55" s="4" t="s">
        <v>343</v>
      </c>
      <c r="C55" s="4" t="s">
        <v>36</v>
      </c>
      <c r="D55" s="26">
        <v>0.33333333333333331</v>
      </c>
      <c r="E55" s="26">
        <v>0.75</v>
      </c>
      <c r="F55" s="4" t="s">
        <v>342</v>
      </c>
    </row>
    <row r="56" spans="1:6" ht="15" customHeight="1" x14ac:dyDescent="0.2">
      <c r="A56" s="2" t="s">
        <v>541</v>
      </c>
      <c r="B56" s="2" t="s">
        <v>354</v>
      </c>
      <c r="C56" s="2" t="s">
        <v>72</v>
      </c>
      <c r="D56" s="25">
        <v>0.33333333333333331</v>
      </c>
      <c r="E56" s="25">
        <v>0.75</v>
      </c>
      <c r="F56" s="2" t="s">
        <v>342</v>
      </c>
    </row>
    <row r="57" spans="1:6" ht="15" customHeight="1" x14ac:dyDescent="0.2">
      <c r="A57" s="4" t="s">
        <v>542</v>
      </c>
      <c r="B57" s="4" t="s">
        <v>354</v>
      </c>
      <c r="C57" s="4" t="s">
        <v>72</v>
      </c>
      <c r="D57" s="26">
        <v>0.33333333333333331</v>
      </c>
      <c r="E57" s="26">
        <v>0.75</v>
      </c>
      <c r="F57" s="4" t="s">
        <v>342</v>
      </c>
    </row>
    <row r="58" spans="1:6" ht="15" customHeight="1" x14ac:dyDescent="0.2">
      <c r="A58" s="2" t="s">
        <v>541</v>
      </c>
      <c r="B58" s="2" t="s">
        <v>360</v>
      </c>
      <c r="C58" s="2" t="s">
        <v>84</v>
      </c>
      <c r="D58" s="25">
        <v>0.33333333333333331</v>
      </c>
      <c r="E58" s="25">
        <v>0.75</v>
      </c>
      <c r="F58" s="2" t="s">
        <v>342</v>
      </c>
    </row>
    <row r="59" spans="1:6" ht="15" customHeight="1" x14ac:dyDescent="0.2">
      <c r="A59" s="4" t="s">
        <v>542</v>
      </c>
      <c r="B59" s="4" t="s">
        <v>360</v>
      </c>
      <c r="C59" s="4" t="s">
        <v>84</v>
      </c>
      <c r="D59" s="26">
        <v>0.33333333333333331</v>
      </c>
      <c r="E59" s="26">
        <v>0.75</v>
      </c>
      <c r="F59" s="4" t="s">
        <v>342</v>
      </c>
    </row>
    <row r="60" spans="1:6" ht="15" customHeight="1" x14ac:dyDescent="0.2">
      <c r="A60" s="2" t="s">
        <v>541</v>
      </c>
      <c r="B60" s="2" t="s">
        <v>369</v>
      </c>
      <c r="C60" s="2" t="s">
        <v>92</v>
      </c>
      <c r="D60" s="25">
        <v>0.33333333333333331</v>
      </c>
      <c r="E60" s="25">
        <v>0.75</v>
      </c>
      <c r="F60" s="2" t="s">
        <v>342</v>
      </c>
    </row>
    <row r="61" spans="1:6" ht="15" customHeight="1" x14ac:dyDescent="0.2">
      <c r="A61" s="4" t="s">
        <v>542</v>
      </c>
      <c r="B61" s="4" t="s">
        <v>369</v>
      </c>
      <c r="C61" s="4" t="s">
        <v>92</v>
      </c>
      <c r="D61" s="26">
        <v>0.33333333333333331</v>
      </c>
      <c r="E61" s="26">
        <v>0.75</v>
      </c>
      <c r="F61" s="4" t="s">
        <v>342</v>
      </c>
    </row>
    <row r="62" spans="1:6" ht="15" customHeight="1" x14ac:dyDescent="0.2">
      <c r="A62" s="2" t="s">
        <v>541</v>
      </c>
      <c r="B62" s="2" t="s">
        <v>373</v>
      </c>
      <c r="C62" s="2" t="s">
        <v>104</v>
      </c>
      <c r="D62" s="25">
        <v>0.33333333333333331</v>
      </c>
      <c r="E62" s="25">
        <v>0.75</v>
      </c>
      <c r="F62" s="2" t="s">
        <v>342</v>
      </c>
    </row>
    <row r="63" spans="1:6" ht="15" customHeight="1" x14ac:dyDescent="0.2">
      <c r="A63" s="4" t="s">
        <v>542</v>
      </c>
      <c r="B63" s="4" t="s">
        <v>373</v>
      </c>
      <c r="C63" s="4" t="s">
        <v>104</v>
      </c>
      <c r="D63" s="26">
        <v>0.33333333333333331</v>
      </c>
      <c r="E63" s="26">
        <v>0.75</v>
      </c>
      <c r="F63" s="4" t="s">
        <v>342</v>
      </c>
    </row>
    <row r="64" spans="1:6" ht="15" customHeight="1" x14ac:dyDescent="0.2">
      <c r="A64" s="2" t="s">
        <v>541</v>
      </c>
      <c r="B64" s="2" t="s">
        <v>378</v>
      </c>
      <c r="C64" s="2" t="s">
        <v>36</v>
      </c>
      <c r="D64" s="25">
        <v>0.33333333333333331</v>
      </c>
      <c r="E64" s="25">
        <v>0.75</v>
      </c>
      <c r="F64" s="2" t="s">
        <v>377</v>
      </c>
    </row>
    <row r="65" spans="1:6" ht="15" customHeight="1" x14ac:dyDescent="0.2">
      <c r="A65" s="4" t="s">
        <v>542</v>
      </c>
      <c r="B65" s="4" t="s">
        <v>378</v>
      </c>
      <c r="C65" s="4" t="s">
        <v>36</v>
      </c>
      <c r="D65" s="26">
        <v>0.33333333333333331</v>
      </c>
      <c r="E65" s="26">
        <v>0.75</v>
      </c>
      <c r="F65" s="4" t="s">
        <v>377</v>
      </c>
    </row>
    <row r="66" spans="1:6" ht="15" customHeight="1" x14ac:dyDescent="0.2">
      <c r="A66" s="2" t="s">
        <v>541</v>
      </c>
      <c r="B66" s="2" t="s">
        <v>389</v>
      </c>
      <c r="C66" s="2" t="s">
        <v>72</v>
      </c>
      <c r="D66" s="25">
        <v>0.33333333333333331</v>
      </c>
      <c r="E66" s="25">
        <v>0.75</v>
      </c>
      <c r="F66" s="2" t="s">
        <v>377</v>
      </c>
    </row>
    <row r="67" spans="1:6" ht="15" customHeight="1" x14ac:dyDescent="0.2">
      <c r="A67" s="4" t="s">
        <v>542</v>
      </c>
      <c r="B67" s="4" t="s">
        <v>389</v>
      </c>
      <c r="C67" s="4" t="s">
        <v>72</v>
      </c>
      <c r="D67" s="26">
        <v>0.33333333333333331</v>
      </c>
      <c r="E67" s="26">
        <v>0.75</v>
      </c>
      <c r="F67" s="4" t="s">
        <v>377</v>
      </c>
    </row>
    <row r="68" spans="1:6" ht="15" customHeight="1" x14ac:dyDescent="0.2">
      <c r="A68" s="2" t="s">
        <v>542</v>
      </c>
      <c r="B68" s="2" t="s">
        <v>396</v>
      </c>
      <c r="C68" s="2" t="s">
        <v>84</v>
      </c>
      <c r="D68" s="25">
        <v>0.33333333333333331</v>
      </c>
      <c r="E68" s="25">
        <v>0.75</v>
      </c>
      <c r="F68" s="2" t="s">
        <v>377</v>
      </c>
    </row>
    <row r="69" spans="1:6" ht="15" customHeight="1" x14ac:dyDescent="0.2">
      <c r="A69" s="4" t="s">
        <v>541</v>
      </c>
      <c r="B69" s="4" t="s">
        <v>401</v>
      </c>
      <c r="C69" s="4" t="s">
        <v>92</v>
      </c>
      <c r="D69" s="26">
        <v>0.33333333333333331</v>
      </c>
      <c r="E69" s="26">
        <v>0.75</v>
      </c>
      <c r="F69" s="4" t="s">
        <v>377</v>
      </c>
    </row>
    <row r="70" spans="1:6" ht="15" customHeight="1" x14ac:dyDescent="0.2">
      <c r="A70" s="2" t="s">
        <v>542</v>
      </c>
      <c r="B70" s="2" t="s">
        <v>401</v>
      </c>
      <c r="C70" s="2" t="s">
        <v>92</v>
      </c>
      <c r="D70" s="25">
        <v>0.33333333333333331</v>
      </c>
      <c r="E70" s="25">
        <v>0.75</v>
      </c>
      <c r="F70" s="2" t="s">
        <v>377</v>
      </c>
    </row>
    <row r="71" spans="1:6" ht="15" customHeight="1" x14ac:dyDescent="0.2">
      <c r="A71" s="4" t="s">
        <v>541</v>
      </c>
      <c r="B71" s="4" t="s">
        <v>414</v>
      </c>
      <c r="C71" s="4" t="s">
        <v>36</v>
      </c>
      <c r="D71" s="26">
        <v>0.33333333333333331</v>
      </c>
      <c r="E71" s="26">
        <v>0.75</v>
      </c>
      <c r="F71" s="4" t="s">
        <v>413</v>
      </c>
    </row>
    <row r="72" spans="1:6" ht="15" customHeight="1" x14ac:dyDescent="0.2">
      <c r="A72" s="2" t="s">
        <v>542</v>
      </c>
      <c r="B72" s="2" t="s">
        <v>414</v>
      </c>
      <c r="C72" s="2" t="s">
        <v>36</v>
      </c>
      <c r="D72" s="25">
        <v>0.33333333333333331</v>
      </c>
      <c r="E72" s="25">
        <v>0.75</v>
      </c>
      <c r="F72" s="2" t="s">
        <v>413</v>
      </c>
    </row>
    <row r="73" spans="1:6" ht="15" customHeight="1" x14ac:dyDescent="0.2">
      <c r="A73" s="4" t="s">
        <v>541</v>
      </c>
      <c r="B73" s="4" t="s">
        <v>419</v>
      </c>
      <c r="C73" s="4" t="s">
        <v>72</v>
      </c>
      <c r="D73" s="26">
        <v>0.33333333333333331</v>
      </c>
      <c r="E73" s="26">
        <v>0.75</v>
      </c>
      <c r="F73" s="4" t="s">
        <v>413</v>
      </c>
    </row>
    <row r="74" spans="1:6" ht="15" customHeight="1" x14ac:dyDescent="0.2">
      <c r="A74" s="2" t="s">
        <v>541</v>
      </c>
      <c r="B74" s="2" t="s">
        <v>429</v>
      </c>
      <c r="C74" s="2" t="s">
        <v>84</v>
      </c>
      <c r="D74" s="25">
        <v>0.33333333333333331</v>
      </c>
      <c r="E74" s="25">
        <v>0.75</v>
      </c>
      <c r="F74" s="2" t="s">
        <v>413</v>
      </c>
    </row>
    <row r="75" spans="1:6" ht="15" customHeight="1" x14ac:dyDescent="0.2">
      <c r="A75" s="4" t="s">
        <v>541</v>
      </c>
      <c r="B75" s="4" t="s">
        <v>435</v>
      </c>
      <c r="C75" s="4" t="s">
        <v>92</v>
      </c>
      <c r="D75" s="26">
        <v>0.33333333333333331</v>
      </c>
      <c r="E75" s="26">
        <v>0.75</v>
      </c>
      <c r="F75" s="4" t="s">
        <v>413</v>
      </c>
    </row>
    <row r="76" spans="1:6" ht="15" customHeight="1" x14ac:dyDescent="0.2">
      <c r="A76" s="2" t="s">
        <v>542</v>
      </c>
      <c r="B76" s="2" t="s">
        <v>435</v>
      </c>
      <c r="C76" s="2" t="s">
        <v>92</v>
      </c>
      <c r="D76" s="25">
        <v>0.33333333333333331</v>
      </c>
      <c r="E76" s="25">
        <v>0.75</v>
      </c>
      <c r="F76" s="2" t="s">
        <v>413</v>
      </c>
    </row>
    <row r="77" spans="1:6" ht="15" customHeight="1" x14ac:dyDescent="0.2">
      <c r="A77" s="4" t="s">
        <v>541</v>
      </c>
      <c r="B77" s="4" t="s">
        <v>444</v>
      </c>
      <c r="C77" s="4" t="s">
        <v>36</v>
      </c>
      <c r="D77" s="26">
        <v>0.33333333333333331</v>
      </c>
      <c r="E77" s="26">
        <v>0.75</v>
      </c>
      <c r="F77" s="4" t="s">
        <v>443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Citas</vt:lpstr>
      <vt:lpstr>Dashboard Semanal</vt:lpstr>
      <vt:lpstr>Técnicos</vt:lpstr>
      <vt:lpstr>Zonas</vt:lpstr>
      <vt:lpstr>KPIs</vt:lpstr>
      <vt:lpstr>Bloques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Romero</cp:lastModifiedBy>
  <cp:revision>0</cp:revision>
  <dcterms:created xsi:type="dcterms:W3CDTF">2026-02-07T17:15:41Z</dcterms:created>
  <dcterms:modified xsi:type="dcterms:W3CDTF">2026-02-07T19:31:28Z</dcterms:modified>
  <dc:language>en-US</dc:language>
</cp:coreProperties>
</file>